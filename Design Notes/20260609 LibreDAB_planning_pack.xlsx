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3"/>
    <sheet name="Design_Calcs" sheetId="2" state="visible" r:id="rId4"/>
    <sheet name="Loss_Thermal" sheetId="3" state="visible" r:id="rId5"/>
    <sheet name="BOM" sheetId="4" state="visible" r:id="rId6"/>
    <sheet name="Cost_Summary" sheetId="5" state="visible" r:id="rId7"/>
    <sheet name="Size_Estimate" sheetId="6" state="visible" r:id="rId8"/>
    <sheet name="Risk_Register" sheetId="7" state="visible" r:id="rId9"/>
    <sheet name="Referen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<sst xmlns="http://schemas.openxmlformats.org/spreadsheetml/2006/main" count="514" uniqueCount="373">
  <si>
    <t xml:space="preserve">LibreDAB — Planning Pack (block diagram, BOM, size &amp; risk)</t>
  </si>
  <si>
    <t xml:space="preserve">Open-source GaN, 1 MHz Dual Active Bridge — Sodium-Ion battery &lt;-&gt; 400 V DC link, 800 W</t>
  </si>
  <si>
    <t xml:space="preserve">Status</t>
  </si>
  <si>
    <t xml:space="preserve">Planning stage. Figures are first-pass estimates to be confirmed in detailed design + prototype.</t>
  </si>
  <si>
    <t xml:space="preserve">Prepared</t>
  </si>
  <si>
    <t xml:space="preserve">Initial pass, June 2026</t>
  </si>
  <si>
    <t xml:space="preserve">Locked decisions</t>
  </si>
  <si>
    <t xml:space="preserve">Full-bridge both sides; SPIN as plug-in controller; series L from transformer leakage; cooling sized from thermals.</t>
  </si>
  <si>
    <t xml:space="preserve">Confidence legend</t>
  </si>
  <si>
    <t xml:space="preserve">H = high (datasheet/quote), M = medium (engineering estimate), L = low (rough / needs prototype)</t>
  </si>
  <si>
    <t xml:space="preserve">Colour legend</t>
  </si>
  <si>
    <t xml:space="preserve">Blue cells = inputs you can change.  Black = calculated/text.  Yellow = key assumption.</t>
  </si>
  <si>
    <t xml:space="preserve">FX assumption</t>
  </si>
  <si>
    <t xml:space="preserve">GBP per USD used for converting USD-quoted parts (see Cost_Summary, change in one place).</t>
  </si>
  <si>
    <t xml:space="preserve">Sheets</t>
  </si>
  <si>
    <t xml:space="preserve">  Design_Calcs</t>
  </si>
  <si>
    <t xml:space="preserve">DAB operating points, required series inductance, transformer flux density &amp; leakage feasibility.</t>
  </si>
  <si>
    <t xml:space="preserve">  Loss_Thermal</t>
  </si>
  <si>
    <t xml:space="preserve">Loss budget at nominal and worst-case corner; efficiency; cooling recommendation.</t>
  </si>
  <si>
    <t xml:space="preserve">  BOM</t>
  </si>
  <si>
    <t xml:space="preserve">Line-by-line bill of materials with sources (LCSC / UK-custom / off-LCSC), costs and references.</t>
  </si>
  <si>
    <t xml:space="preserve">  Cost_Summary</t>
  </si>
  <si>
    <t xml:space="preserve">Roll-up by category, per-board total and low/high range.</t>
  </si>
  <si>
    <t xml:space="preserve">  Size_Estimate</t>
  </si>
  <si>
    <t xml:space="preserve">Area budget against the 70 x 280 mm single-sided board; Z-height note.</t>
  </si>
  <si>
    <t xml:space="preserve">  Risk_Register</t>
  </si>
  <si>
    <t xml:space="preserve">Ranked risks with likelihood x impact and mitigations.</t>
  </si>
  <si>
    <t xml:space="preserve">  References</t>
  </si>
  <si>
    <t xml:space="preserve">All sources with URLs (every checkable figure is traceable here).</t>
  </si>
  <si>
    <t xml:space="preserve">IMPORTANT</t>
  </si>
  <si>
    <t xml:space="preserve">GaN power devices (LMG2100R026, LMG2652) are NOT in the LCSC catalogue. They are off-LCSC lines</t>
  </si>
  <si>
    <t xml:space="preserve">(Mouser/DigiKey/TI) - now an all-TI power stage (single vendor). All-LCSC HV fallback (Tokmas CID12N65D x4 + drivers) noted in BOM.</t>
  </si>
  <si>
    <t xml:space="preserve">DAB Design Calculations (single-phase-shift model)</t>
  </si>
  <si>
    <t xml:space="preserve">Topology assumption: full bridge both sides, battery = primary (1T), DC link = secondary (11T)</t>
  </si>
  <si>
    <t xml:space="preserve">Inputs (blue = change)</t>
  </si>
  <si>
    <t xml:space="preserve">Battery nominal voltage</t>
  </si>
  <si>
    <t xml:space="preserve">V</t>
  </si>
  <si>
    <t xml:space="preserve">Battery minimum voltage</t>
  </si>
  <si>
    <t xml:space="preserve">Battery maximum voltage</t>
  </si>
  <si>
    <t xml:space="preserve">DC link voltage</t>
  </si>
  <si>
    <t xml:space="preserve">Rated power</t>
  </si>
  <si>
    <t xml:space="preserve">W</t>
  </si>
  <si>
    <t xml:space="preserve">Switching frequency</t>
  </si>
  <si>
    <t xml:space="preserve">Hz</t>
  </si>
  <si>
    <t xml:space="preserve">Turns ratio n = Ns/Np</t>
  </si>
  <si>
    <t xml:space="preserve">-</t>
  </si>
  <si>
    <t xml:space="preserve">Primary turns Np</t>
  </si>
  <si>
    <t xml:space="preserve">Core A_L (assembled pair)</t>
  </si>
  <si>
    <t xml:space="preserve">H</t>
  </si>
  <si>
    <t xml:space="preserve">Core effective area Ae</t>
  </si>
  <si>
    <t xml:space="preserve">m^2</t>
  </si>
  <si>
    <t xml:space="preserve">Design phase shift (nominal)</t>
  </si>
  <si>
    <t xml:space="preserve">deg</t>
  </si>
  <si>
    <t xml:space="preserve">Assumed efficiency (for current calc)</t>
  </si>
  <si>
    <t xml:space="preserve">Primary RMS factor (x I_dc, rough)</t>
  </si>
  <si>
    <t xml:space="preserve">Calculations</t>
  </si>
  <si>
    <t xml:space="preserve">Secondary turns Ns</t>
  </si>
  <si>
    <t xml:space="preserve">Reflected link voltage to primary (Vlink/n)</t>
  </si>
  <si>
    <t xml:space="preserve">Battery current at nominal</t>
  </si>
  <si>
    <t xml:space="preserve">A</t>
  </si>
  <si>
    <t xml:space="preserve">Battery current at min V (incl. eff.)</t>
  </si>
  <si>
    <t xml:space="preserve">Phase shift (radians)</t>
  </si>
  <si>
    <t xml:space="preserve">rad</t>
  </si>
  <si>
    <t xml:space="preserve">Phase shape factor  φ(1-φ/π)</t>
  </si>
  <si>
    <t xml:space="preserve">REQUIRED series inductance, referred to primary</t>
  </si>
  <si>
    <t xml:space="preserve">   = required series inductance (primary)</t>
  </si>
  <si>
    <t xml:space="preserve">nH</t>
  </si>
  <si>
    <t xml:space="preserve">   = required series inductance (secondary)</t>
  </si>
  <si>
    <t xml:space="preserve">uH</t>
  </si>
  <si>
    <t xml:space="preserve">Magnetizing inductance (primary)</t>
  </si>
  <si>
    <t xml:space="preserve">Required leakage as % of magnetizing</t>
  </si>
  <si>
    <t xml:space="preserve">%</t>
  </si>
  <si>
    <t xml:space="preserve">Peak flux density (secondary, square-wave approx)</t>
  </si>
  <si>
    <t xml:space="preserve">T</t>
  </si>
  <si>
    <t xml:space="preserve">   = peak flux density (secondary)</t>
  </si>
  <si>
    <t xml:space="preserve">mT</t>
  </si>
  <si>
    <t xml:space="preserve">Peak flux density (primary, approx)</t>
  </si>
  <si>
    <t xml:space="preserve">Primary RMS current at nominal</t>
  </si>
  <si>
    <t xml:space="preserve">Primary RMS current at min-V corner</t>
  </si>
  <si>
    <t xml:space="preserve">Interpretation</t>
  </si>
  <si>
    <t xml:space="preserve">Required leakage (~5% of magnetizing) is HIGH for a tightly-coupled RM transformer (typical 1-3%).</t>
  </si>
  <si>
    <t xml:space="preserve">Achieving AND controlling this with a single-turn primary is the dominant magnetics risk (see Risk M-01).</t>
  </si>
  <si>
    <t xml:space="preserve">Flux density ~60-72 mT at 1 MHz in N49 is acceptable but core loss is non-trivial (see Loss_Thermal).</t>
  </si>
  <si>
    <t xml:space="preserve">Battery range 23.8-58.8 V is a 2.47:1 swing -&gt; reflected 262-647 V vs fixed 400 V link; ZVS range and RMS</t>
  </si>
  <si>
    <t xml:space="preserve">currents vary strongly with state-of-charge. Adaptive modulation likely needed (Risk C-01).</t>
  </si>
  <si>
    <t xml:space="preserve">Required series L scales with design phase shift (blue input row 15); lower phase shift -&gt; lower L needed.</t>
  </si>
  <si>
    <t xml:space="preserve">Loss Budget &amp; Thermal Recommendation</t>
  </si>
  <si>
    <t xml:space="preserve">Efficiency target &gt;95% at NOMINAL (42 V, 800 W). Worst case = 23.8 V / full power.</t>
  </si>
  <si>
    <t xml:space="preserve">Block</t>
  </si>
  <si>
    <t xml:space="preserve">Loss @ nominal (W)</t>
  </si>
  <si>
    <t xml:space="preserve">Loss @ worst corner (W)</t>
  </si>
  <si>
    <t xml:space="preserve">Confidence</t>
  </si>
  <si>
    <t xml:space="preserve">Basis / source</t>
  </si>
  <si>
    <t xml:space="preserve">LV full bridge (2x LMG2100R026, 2.6 mΩ)</t>
  </si>
  <si>
    <t xml:space="preserve">M</t>
  </si>
  <si>
    <t xml:space="preserve">Lower Rds (2.6 mΩ) cuts conduction; 53 A rating eases low-V corner</t>
  </si>
  <si>
    <t xml:space="preserve">HV full bridge (2x LMG2652, 140 mΩ)</t>
  </si>
  <si>
    <t xml:space="preserve">Low HV current; 650 V ZVS switching dominates at 1 MHz</t>
  </si>
  <si>
    <t xml:space="preserve">HF transformer (core + copper)</t>
  </si>
  <si>
    <t xml:space="preserve">N49 ~60-72 mT @1 MHz; user est 2 W is optimistic</t>
  </si>
  <si>
    <t xml:space="preserve">Bias / gate drive / control</t>
  </si>
  <si>
    <t xml:space="preserve">Gate charge x f, aux supply, sensing</t>
  </si>
  <si>
    <t xml:space="preserve">PCB / interconnect / connectors</t>
  </si>
  <si>
    <t xml:space="preserve">L</t>
  </si>
  <si>
    <t xml:space="preserve">I^2R in copper at 19-35 A on LV side</t>
  </si>
  <si>
    <t xml:space="preserve">TOTAL LOSS</t>
  </si>
  <si>
    <t xml:space="preserve">Output power (W)</t>
  </si>
  <si>
    <t xml:space="preserve">Estimated efficiency</t>
  </si>
  <si>
    <t xml:space="preserve">Cooling recommendation (sized from thermals)</t>
  </si>
  <si>
    <t xml:space="preserve">Worst-case ~40 W (low-SoC, full power) over a 70x280 mm (196 cm^2) single-sided board.</t>
  </si>
  <si>
    <t xml:space="preserve">Natural convection alone (~10-20 W at acceptable rise) is INSUFFICIENT at the worst corner.</t>
  </si>
  <si>
    <t xml:space="preserve">RECOMMENDED: conduction to a chassis/baseplate as the main heat path, plus a screw-mounted</t>
  </si>
  <si>
    <t xml:space="preserve">top-side heatsink bar over the LV stage (EPC23102 has an exposed-TOP cooling pad - ideal, removable).</t>
  </si>
  <si>
    <t xml:space="preserve">HV stage (LMG2652) is bottom-cooled: thermal vias to a bottom plane -&gt; gap pad -&gt; chassis.</t>
  </si>
  <si>
    <t xml:space="preserve">Provide footprint/headers for an optional small fan for continuous worst-corner operation.</t>
  </si>
  <si>
    <t xml:space="preserve">This satisfies the repairability rules: single-sided placement, screwed (not potted) heatsinks.</t>
  </si>
  <si>
    <t xml:space="preserve">Bill of Materials (per board, low-volume / prototype pricing)</t>
  </si>
  <si>
    <t xml:space="preserve">Sources: LCSC (PCBway-orderable) unless noted UK-custom or off-LCSC. Costs in GBP.</t>
  </si>
  <si>
    <t xml:space="preserve">#</t>
  </si>
  <si>
    <t xml:space="preserve">Function / Ref</t>
  </si>
  <si>
    <t xml:space="preserve">Part number</t>
  </si>
  <si>
    <t xml:space="preserve">Mfr</t>
  </si>
  <si>
    <t xml:space="preserve">Source</t>
  </si>
  <si>
    <t xml:space="preserve">Qty</t>
  </si>
  <si>
    <t xml:space="preserve">Unit £</t>
  </si>
  <si>
    <t xml:space="preserve">Ext £</t>
  </si>
  <si>
    <t xml:space="preserve">Quoted price (native)</t>
  </si>
  <si>
    <t xml:space="preserve">Datasheet / link</t>
  </si>
  <si>
    <t xml:space="preserve">Conf.</t>
  </si>
  <si>
    <t xml:space="preserve">Notes</t>
  </si>
  <si>
    <t xml:space="preserve">LV bridge</t>
  </si>
  <si>
    <t xml:space="preserve">HS+LS GaN half-bridge x2 (full bridge)</t>
  </si>
  <si>
    <t xml:space="preserve">LMG2100R026</t>
  </si>
  <si>
    <t xml:space="preserve">TI</t>
  </si>
  <si>
    <t xml:space="preserve">off-LCSC (Mouser/DigiKey)</t>
  </si>
  <si>
    <t xml:space="preserve">~$8-13 low qty; in stock</t>
  </si>
  <si>
    <t xml:space="preserve">https://www.ti.com/product/LMG2100R026</t>
  </si>
  <si>
    <t xml:space="preserve">93V cont/100V pulsed, 53A, 2.6 mOhm, top-cooled. All-TI w/ HV. NOT on LCSC</t>
  </si>
  <si>
    <t xml:space="preserve">HV bridge</t>
  </si>
  <si>
    <t xml:space="preserve">HV GaN half-bridge x2 (full bridge)</t>
  </si>
  <si>
    <t xml:space="preserve">LMG2652RFBR</t>
  </si>
  <si>
    <t xml:space="preserve">~$7-8; 12-wk lead</t>
  </si>
  <si>
    <t xml:space="preserve">https://www.ti.com/product/LMG2652</t>
  </si>
  <si>
    <t xml:space="preserve">Integrated driver+current sense; bottom-cooled; 12-wk lead</t>
  </si>
  <si>
    <t xml:space="preserve">HV bridge (ALT)</t>
  </si>
  <si>
    <t xml:space="preserve">All-LCSC HV fallback: single switch x4 + drivers</t>
  </si>
  <si>
    <t xml:space="preserve">CID12N65D</t>
  </si>
  <si>
    <t xml:space="preserve">Tokmas</t>
  </si>
  <si>
    <t xml:space="preserve">LCSC C21547657</t>
  </si>
  <si>
    <t xml:space="preserve">$0.6276 LCSC</t>
  </si>
  <si>
    <t xml:space="preserve">https://www.lcsc.com/product-detail/C21547657.html</t>
  </si>
  <si>
    <t xml:space="preserve">Alternative path: needs 4 x modules instead of 2 x</t>
  </si>
  <si>
    <t xml:space="preserve">Magnetics</t>
  </si>
  <si>
    <t xml:space="preserve">RM12 core set (N49)</t>
  </si>
  <si>
    <t xml:space="preserve">B65815E0000R049</t>
  </si>
  <si>
    <t xml:space="preserve">TDK/EPCOS</t>
  </si>
  <si>
    <t xml:space="preserve">UK (Farnell/TME) - custom</t>
  </si>
  <si>
    <t xml:space="preserve">~£6-12/pair</t>
  </si>
  <si>
    <t xml:space="preserve">https://uk.farnell.com/epcos/b65815e0000r049/transformer-core-rm-n49-57mm/dp/4167325</t>
  </si>
  <si>
    <t xml:space="preserve">A_L 3700 nH, Ae 146 mm^2, sold as pair</t>
  </si>
  <si>
    <t xml:space="preserve">RM12 coil former (bobbin) + clips</t>
  </si>
  <si>
    <t xml:space="preserve">RM12 bobbin/clip set</t>
  </si>
  <si>
    <t xml:space="preserve">UK - custom</t>
  </si>
  <si>
    <t xml:space="preserve">~£3-5</t>
  </si>
  <si>
    <t xml:space="preserve">https://www.tdk-electronics.tdk.com/inf/80/db/fer/rm_12.pdf</t>
  </si>
  <si>
    <t xml:space="preserve">Required to wind transformer</t>
  </si>
  <si>
    <t xml:space="preserve">Litz wire (primary heavy + secondary)</t>
  </si>
  <si>
    <t xml:space="preserve">Litz 12A &amp; 3A</t>
  </si>
  <si>
    <t xml:space="preserve">RM Cybernetics</t>
  </si>
  <si>
    <t xml:space="preserve">~£10-25</t>
  </si>
  <si>
    <t xml:space="preserve">https://www.rmcybernetics.com/</t>
  </si>
  <si>
    <t xml:space="preserve">Single-turn primary at ~40 A RMS may need paralleled bundles</t>
  </si>
  <si>
    <t xml:space="preserve">Transformer winding / assembly (custom labour)</t>
  </si>
  <si>
    <t xml:space="preserve">Custom wound RM12</t>
  </si>
  <si>
    <t xml:space="preserve">UK winder</t>
  </si>
  <si>
    <t xml:space="preserve">~£15-50</t>
  </si>
  <si>
    <t xml:space="preserve">Leakage must be tuned &amp; measured; biggest cost uncertainty</t>
  </si>
  <si>
    <t xml:space="preserve">HV cap</t>
  </si>
  <si>
    <t xml:space="preserve">DC-link bus capacitance (C0G/film, 500-630 V)</t>
  </si>
  <si>
    <t xml:space="preserve">ceramic/film array</t>
  </si>
  <si>
    <t xml:space="preserve">various</t>
  </si>
  <si>
    <t xml:space="preserve">LCSC</t>
  </si>
  <si>
    <t xml:space="preserve">allowance</t>
  </si>
  <si>
    <t xml:space="preserve">https://www.lcsc.com/</t>
  </si>
  <si>
    <t xml:space="preserve">High-freq bus decoupling near HV bridge</t>
  </si>
  <si>
    <t xml:space="preserve">LV cap</t>
  </si>
  <si>
    <t xml:space="preserve">Battery-side bulk + decoupling (high ripple)</t>
  </si>
  <si>
    <t xml:space="preserve">ceramic + polymer</t>
  </si>
  <si>
    <t xml:space="preserve">Ripple current rating critical at 1 MHz / 35 A</t>
  </si>
  <si>
    <t xml:space="preserve">Sensing</t>
  </si>
  <si>
    <t xml:space="preserve">Battery current sense (shunt + isolated amp or Hall)</t>
  </si>
  <si>
    <t xml:space="preserve">e.g. TMCS/INA-class</t>
  </si>
  <si>
    <t xml:space="preserve">HV current available from LMG2652 integrated sense</t>
  </si>
  <si>
    <t xml:space="preserve">Voltage dividers + scaling buffer (both sides, 0-2.048 V)</t>
  </si>
  <si>
    <t xml:space="preserve">resistors + op-amp</t>
  </si>
  <si>
    <t xml:space="preserve">Conditioned to SPIN ADC 0-2.048 V range</t>
  </si>
  <si>
    <t xml:space="preserve">Bias</t>
  </si>
  <si>
    <t xml:space="preserve">Aux/isolated supply + LDOs (5 V / VDD rails)</t>
  </si>
  <si>
    <t xml:space="preserve">iso DC-DC + LDO</t>
  </si>
  <si>
    <t xml:space="preserve">Powers GaN gate-driver bias on both domains</t>
  </si>
  <si>
    <t xml:space="preserve">Interface</t>
  </si>
  <si>
    <t xml:space="preserve">Battery connector (35 A rated)</t>
  </si>
  <si>
    <t xml:space="preserve">screw terminal / high-current</t>
  </si>
  <si>
    <t xml:space="preserve">Repairable, re-mountable per golden rules</t>
  </si>
  <si>
    <t xml:space="preserve">400 V link connector</t>
  </si>
  <si>
    <t xml:space="preserve">&gt;600 V rated</t>
  </si>
  <si>
    <t xml:space="preserve">SPIN header (2.54 mm)</t>
  </si>
  <si>
    <t xml:space="preserve">pin header</t>
  </si>
  <si>
    <t xml:space="preserve">https://www.owntech.org/spin-2/</t>
  </si>
  <si>
    <t xml:space="preserve">PWM out + ADC in (0-2.048 V) + serial/analog ref</t>
  </si>
  <si>
    <t xml:space="preserve">Test points (all major nets)</t>
  </si>
  <si>
    <t xml:space="preserve">SMD test points</t>
  </si>
  <si>
    <t xml:space="preserve">Golden rule: TPs on all major power &amp; control nets</t>
  </si>
  <si>
    <t xml:space="preserve">Indicator</t>
  </si>
  <si>
    <t xml:space="preserve">'No Error' status LED + driver</t>
  </si>
  <si>
    <t xml:space="preserve">LED + transistor</t>
  </si>
  <si>
    <t xml:space="preserve">Absence of indication = error</t>
  </si>
  <si>
    <t xml:space="preserve">Passives</t>
  </si>
  <si>
    <t xml:space="preserve">Gate Rs, bootstrap caps, decouplers, dividers</t>
  </si>
  <si>
    <t xml:space="preserve">0402/0603 passives</t>
  </si>
  <si>
    <t xml:space="preserve">Min. part diversity per golden rules</t>
  </si>
  <si>
    <t xml:space="preserve">Thermal</t>
  </si>
  <si>
    <t xml:space="preserve">Top-side heatsink (LV) + TIM + screws</t>
  </si>
  <si>
    <t xml:space="preserve">heatsink+pad</t>
  </si>
  <si>
    <t xml:space="preserve">UK/LCSC</t>
  </si>
  <si>
    <t xml:space="preserve">~£4-10</t>
  </si>
  <si>
    <t xml:space="preserve">Screw-mounted, removable</t>
  </si>
  <si>
    <t xml:space="preserve">PCB</t>
  </si>
  <si>
    <t xml:space="preserve">4-layer 2 oz, 70 x 280 mm (qty 5 amortised)</t>
  </si>
  <si>
    <t xml:space="preserve">custom PCB</t>
  </si>
  <si>
    <t xml:space="preserve">PCBway</t>
  </si>
  <si>
    <t xml:space="preserve">~£12-35/board</t>
  </si>
  <si>
    <t xml:space="preserve">https://www.pcbway.com/orderonline.aspx</t>
  </si>
  <si>
    <t xml:space="preserve">2 oz copper + large area push cost up; use PCBway calculator</t>
  </si>
  <si>
    <t xml:space="preserve">PER-BOARD TOTAL</t>
  </si>
  <si>
    <t xml:space="preserve">Note: ALT row (Tokmas) qty set to 0 so it is excluded from the total; switch quantities to swap the HV path.</t>
  </si>
  <si>
    <t xml:space="preserve">Cost Summary (per board)</t>
  </si>
  <si>
    <t xml:space="preserve">FX assumption: GBP per USD</t>
  </si>
  <si>
    <t xml:space="preserve">(=1/1.27; used where parts quoted in USD)</t>
  </si>
  <si>
    <t xml:space="preserve">Category</t>
  </si>
  <si>
    <t xml:space="preserve">Cost £</t>
  </si>
  <si>
    <t xml:space="preserve">Comment</t>
  </si>
  <si>
    <t xml:space="preserve">Semiconductors (GaN)</t>
  </si>
  <si>
    <t xml:space="preserve">LMG2100R026 x2 + LMG2652 x2; all-TI, off-LCSC</t>
  </si>
  <si>
    <t xml:space="preserve">Magnetics (custom, UK)</t>
  </si>
  <si>
    <t xml:space="preserve">Core+bobbin+litz+winding; dominant uncertainty</t>
  </si>
  <si>
    <t xml:space="preserve">Capacitors</t>
  </si>
  <si>
    <t xml:space="preserve">HV bus + LV bulk/decoupling</t>
  </si>
  <si>
    <t xml:space="preserve">Sensing &amp; control interface</t>
  </si>
  <si>
    <t xml:space="preserve">Current/voltage sense, bias, connectors, TPs, LED</t>
  </si>
  <si>
    <t xml:space="preserve">Misc passives</t>
  </si>
  <si>
    <t xml:space="preserve">Gate Rs, bootstrap, dividers</t>
  </si>
  <si>
    <t xml:space="preserve">Heatsink + TIM</t>
  </si>
  <si>
    <t xml:space="preserve">PCB (PCBway)</t>
  </si>
  <si>
    <t xml:space="preserve">4-layer 2 oz, 70x280 mm</t>
  </si>
  <si>
    <t xml:space="preserve">POINT-ESTIMATE TOTAL</t>
  </si>
  <si>
    <t xml:space="preserve">Range factors (blue)</t>
  </si>
  <si>
    <t xml:space="preserve">Low factor</t>
  </si>
  <si>
    <t xml:space="preserve">High factor</t>
  </si>
  <si>
    <t xml:space="preserve">Estimated low (£)</t>
  </si>
  <si>
    <t xml:space="preserve">Estimated high (£)</t>
  </si>
  <si>
    <t xml:space="preserve">Overall cost confidence: M-L. Drivers of spread: custom transformer, low-qty GaN pricing, PCB area/copper.</t>
  </si>
  <si>
    <t xml:space="preserve">Size Estimate vs 70 x 280 mm target</t>
  </si>
  <si>
    <t xml:space="preserve">Board area available (single-sided)</t>
  </si>
  <si>
    <t xml:space="preserve">cm^2 (=196)</t>
  </si>
  <si>
    <t xml:space="preserve">Approx area (cm^2)</t>
  </si>
  <si>
    <t xml:space="preserve">Notes (footprint basis)</t>
  </si>
  <si>
    <t xml:space="preserve">LV full bridge + input caps</t>
  </si>
  <si>
    <t xml:space="preserve">2x LMG2100R026 (7x4.5 mm) + decoupling + heavy-copper pour</t>
  </si>
  <si>
    <t xml:space="preserve">HV full bridge + bus caps</t>
  </si>
  <si>
    <t xml:space="preserve">2x LMG2652 (6x8 mm) + 400 V bus caps</t>
  </si>
  <si>
    <t xml:space="preserve">HF transformer (RM12)</t>
  </si>
  <si>
    <t xml:space="preserve">Core ~37.6x29.8 mm + clearance; tallest part ~25 mm</t>
  </si>
  <si>
    <t xml:space="preserve">Sensing + bias + control interface</t>
  </si>
  <si>
    <t xml:space="preserve">Dividers, current sense, aux supply, SPIN header</t>
  </si>
  <si>
    <t xml:space="preserve">Connectors + test points</t>
  </si>
  <si>
    <t xml:space="preserve">Battery (35 A) + 400 V link + TPs</t>
  </si>
  <si>
    <t xml:space="preserve">Isolation barrier / creepage gap</t>
  </si>
  <si>
    <t xml:space="preserve">400 V &lt;-&gt; battery separation under/around transformer</t>
  </si>
  <si>
    <t xml:space="preserve">Routing / margin</t>
  </si>
  <si>
    <t xml:space="preserve">Spacing, vias, keep-outs, single-sided routing overhead</t>
  </si>
  <si>
    <t xml:space="preserve">TOTAL allocated</t>
  </si>
  <si>
    <t xml:space="preserve">Spare vs 196 cm^2</t>
  </si>
  <si>
    <t xml:space="preserve">Verdict: fits the 70x280 mm footprint with modest margin (conf M). Z-height is set by the RM12</t>
  </si>
  <si>
    <t xml:space="preserve">core (~25 mm) plus the top-side heatsink, so the module depth - not PCB area - is the tighter constraint.</t>
  </si>
  <si>
    <t xml:space="preserve">Risk Register</t>
  </si>
  <si>
    <t xml:space="preserve">Likelihood (L) &amp; Impact (I) on 1-5 scale; Score = L x I. Higher = attend first.</t>
  </si>
  <si>
    <t xml:space="preserve">ID</t>
  </si>
  <si>
    <t xml:space="preserve">Risk</t>
  </si>
  <si>
    <t xml:space="preserve">I</t>
  </si>
  <si>
    <t xml:space="preserve">Score</t>
  </si>
  <si>
    <t xml:space="preserve">Mitigation</t>
  </si>
  <si>
    <t xml:space="preserve">M-01</t>
  </si>
  <si>
    <t xml:space="preserve">Leakage-only series L (~5% of magnetizing, single-turn primary) hard to hit AND control; sets power transfer</t>
  </si>
  <si>
    <t xml:space="preserve">Design winding separation for target leakage; measure &amp; tune on prototype; keep discrete shim inductor as fallback</t>
  </si>
  <si>
    <t xml:space="preserve">Open</t>
  </si>
  <si>
    <t xml:space="preserve">T-01</t>
  </si>
  <si>
    <t xml:space="preserve">Thermal/Device</t>
  </si>
  <si>
    <t xml:space="preserve">LV switch current at 23.8 V full-power corner (~42 A) vs 53 A rating -&gt; comfortable margin; thermal still to manage</t>
  </si>
  <si>
    <t xml:space="preserve">Top-side heatsink + conduction; verify 1 MHz thermal derating at worst corner</t>
  </si>
  <si>
    <t xml:space="preserve">S-01</t>
  </si>
  <si>
    <t xml:space="preserve">Sourcing</t>
  </si>
  <si>
    <t xml:space="preserve">GaN power ICs not on LCSC (EPC23102) / LMG2652 12-wk lead -&gt; not fully PCBway-assemblable</t>
  </si>
  <si>
    <t xml:space="preserve">Dual-source; pre-order long-lead; all-LCSC Tokmas HV path; consign parts to PCBway</t>
  </si>
  <si>
    <t xml:space="preserve">L-01</t>
  </si>
  <si>
    <t xml:space="preserve">Layout/EMI</t>
  </si>
  <si>
    <t xml:space="preserve">1 MHz GaN gate loops, switching-node ringing, conducted/radiated EMI</t>
  </si>
  <si>
    <t xml:space="preserve">Tight power-loop layout; follow EPC/TI ref designs; slew-rate control; input/output filtering</t>
  </si>
  <si>
    <t xml:space="preserve">I-01</t>
  </si>
  <si>
    <t xml:space="preserve">Isolation</t>
  </si>
  <si>
    <t xml:space="preserve">400 V &lt;-&gt; battery isolation incl. sensing &amp; gate-drive references and PCB creepage</t>
  </si>
  <si>
    <t xml:space="preserve">Define isolation standard; PCB creepage/clearance; isolated sense &amp; bias across barrier</t>
  </si>
  <si>
    <t xml:space="preserve">C-01</t>
  </si>
  <si>
    <t xml:space="preserve">Control</t>
  </si>
  <si>
    <t xml:space="preserve">Wide 2.47:1 battery range degrades ZVS range &amp; raises RMS currents at SoC extremes</t>
  </si>
  <si>
    <t xml:space="preserve">Adaptive modulation (extended-phase-shift / triangular) in SPIN firmware; verify ZVS map</t>
  </si>
  <si>
    <t xml:space="preserve">E-01</t>
  </si>
  <si>
    <t xml:space="preserve">Efficiency</t>
  </si>
  <si>
    <t xml:space="preserve">Meeting &gt;95% at 1 MHz once real core, AC-copper, gate &amp; ringing losses are included</t>
  </si>
  <si>
    <t xml:space="preserve">Refine loss model; optimise magnetics &amp; ZVS; treat &gt;95% as nominal-point target</t>
  </si>
  <si>
    <t xml:space="preserve">M-02</t>
  </si>
  <si>
    <t xml:space="preserve">Custom hand-wound transformer: cost, lead time and unit-to-unit repeatability</t>
  </si>
  <si>
    <t xml:space="preserve">Document winding spec; qualify a UK winder; characterise L_leak &amp; losses per unit</t>
  </si>
  <si>
    <t xml:space="preserve">P-01</t>
  </si>
  <si>
    <t xml:space="preserve">35 A on LV side: copper heating, via current, thermal coupling to devices</t>
  </si>
  <si>
    <t xml:space="preserve">2 oz (or heavier) copper, large pours, paralleled layers, thermal vias</t>
  </si>
  <si>
    <t xml:space="preserve">R-01</t>
  </si>
  <si>
    <t xml:space="preserve">Repairability</t>
  </si>
  <si>
    <t xml:space="preserve">GaN QFNs (incl. exposed-pad) are hard to hand-rework vs golden rules</t>
  </si>
  <si>
    <t xml:space="preserve">Single-sided placement; hot-air-reworkable layout; spacing; full test points</t>
  </si>
  <si>
    <t xml:space="preserve">X-01</t>
  </si>
  <si>
    <t xml:space="preserve">Caps</t>
  </si>
  <si>
    <t xml:space="preserve">LV bus ripple-current rating at 1 MHz / high current</t>
  </si>
  <si>
    <t xml:space="preserve">Ceramic arrays with adequate ripple rating; verify thermals</t>
  </si>
  <si>
    <t xml:space="preserve">D-01</t>
  </si>
  <si>
    <t xml:space="preserve">Control/Spec</t>
  </si>
  <si>
    <t xml:space="preserve">Bidirectional reference (analog OR serial) + 'no-error' logic complexity</t>
  </si>
  <si>
    <t xml:space="preserve">Leverage OwnTech SPIN stack; staged firmware bring-up; clear fault state machine</t>
  </si>
  <si>
    <t xml:space="preserve">References (all checkable)</t>
  </si>
  <si>
    <t xml:space="preserve">Supports</t>
  </si>
  <si>
    <t xml:space="preserve">URL</t>
  </si>
  <si>
    <t xml:space="preserve">TI LMG2100R026 product page</t>
  </si>
  <si>
    <t xml:space="preserve">LV GaN: 93 V cont/100 V pulsed, 53 A, 2.6 mΩ, integrated driver, top-cooled</t>
  </si>
  <si>
    <t xml:space="preserve">TI LMG2100R026 datasheet (PDF)</t>
  </si>
  <si>
    <t xml:space="preserve">Electrical specs, 7.0x4.5 mm 18-VQFN, UVLO/clamp protection</t>
  </si>
  <si>
    <t xml:space="preserve">https://www.ti.com/lit/ds/symlink/lmg2100r026.pdf</t>
  </si>
  <si>
    <t xml:space="preserve">DigiKey LMG2100R026VBNR</t>
  </si>
  <si>
    <t xml:space="preserve">Availability (in stock) &amp; low-qty pricing - verify before order</t>
  </si>
  <si>
    <t xml:space="preserve">https://www.digikey.com/en/products/detail/texas-instruments/LMG2100R026VBNR/25811484</t>
  </si>
  <si>
    <t xml:space="preserve">TI LMG2652 product page</t>
  </si>
  <si>
    <t xml:space="preserve">HV GaN: 650 V, 140 mΩ, integrated driver+sense, bottom-cooled</t>
  </si>
  <si>
    <t xml:space="preserve">DigiKey LMG2652RFBR</t>
  </si>
  <si>
    <t xml:space="preserve">Availability / 12-week lead, 19-VQFN 8x6 mm</t>
  </si>
  <si>
    <t xml:space="preserve">https://www.digikey.com/en/products/detail/texas-instruments/LMG2652RFBR/26251057</t>
  </si>
  <si>
    <t xml:space="preserve">LCSC CID12N65D (Tokmas)</t>
  </si>
  <si>
    <t xml:space="preserve">All-LCSC HV fallback, 650 V, from $0.6276</t>
  </si>
  <si>
    <t xml:space="preserve">Farnell B65815E0000R049</t>
  </si>
  <si>
    <t xml:space="preserve">RM12 N49 core, UK source</t>
  </si>
  <si>
    <t xml:space="preserve">TME B65815E0000R049</t>
  </si>
  <si>
    <t xml:space="preserve">https://www.tme.eu/en/details/b65815e0000r049/ferrite-cores/epcos/</t>
  </si>
  <si>
    <t xml:space="preserve">TDK RM12 datasheet</t>
  </si>
  <si>
    <t xml:space="preserve">A_L by grade (N49 = 3700 nH +30/-20%)</t>
  </si>
  <si>
    <t xml:space="preserve">UK Litz wire (12 A / 3 A variants)</t>
  </si>
  <si>
    <t xml:space="preserve">OwnTech SPIN</t>
  </si>
  <si>
    <t xml:space="preserve">Controller: STM32G4, HRTIM PWM, ADC 0-2.048 V</t>
  </si>
  <si>
    <t xml:space="preserve">OwnTech ADC docs</t>
  </si>
  <si>
    <t xml:space="preserve">ADC input range 0-2.048 V, PWM-triggered sampling</t>
  </si>
  <si>
    <t xml:space="preserve">https://docs.owntech.org/latest/examples/SPIN/ADC/adc_hrtim_trigger/</t>
  </si>
  <si>
    <t xml:space="preserve">LibreSolar BMS C1</t>
  </si>
  <si>
    <t xml:space="preserve">60 V max -&gt; sets 14S Na-ion upper limit</t>
  </si>
  <si>
    <t xml:space="preserve">https://github.com/LibreSolar/bms-c1</t>
  </si>
  <si>
    <t xml:space="preserve">PCBway online quote</t>
  </si>
  <si>
    <t xml:space="preserve">PCB fabrication cost calculator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</si>
</sst>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"/>
    <numFmt numFmtId="167" formatCode="0.000"/>
    <numFmt numFmtId="168" formatCode="0.00E+00"/>
    <numFmt numFmtId="169" formatCode="0.0%"/>
    <numFmt numFmtId="170" formatCode="\£#,##0.00"/>
    <numFmt numFmtId="171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5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  <c r="B3" s="5"/>
    </row>
    <row r="4" customFormat="false" ht="15" hidden="false" customHeight="false" outlineLevel="0" collapsed="false">
      <c r="A4" s="3" t="s">
        <v>2</v>
      </c>
      <c r="B4" s="5" t="s">
        <v>3</v>
      </c>
    </row>
    <row r="5" customFormat="false" ht="15" hidden="false" customHeight="false" outlineLevel="0" collapsed="false">
      <c r="A5" s="3" t="s">
        <v>4</v>
      </c>
      <c r="B5" s="5" t="s">
        <v>5</v>
      </c>
    </row>
    <row r="6" customFormat="false" ht="15" hidden="false" customHeight="false" outlineLevel="0" collapsed="false">
      <c r="A6" s="3" t="s">
        <v>6</v>
      </c>
      <c r="B6" s="5" t="s">
        <v>7</v>
      </c>
    </row>
    <row r="7" customFormat="false" ht="15" hidden="false" customHeight="false" outlineLevel="0" collapsed="false">
      <c r="A7" s="4"/>
      <c r="B7" s="5"/>
    </row>
    <row r="8" customFormat="false" ht="15" hidden="false" customHeight="false" outlineLevel="0" collapsed="false">
      <c r="A8" s="3" t="s">
        <v>8</v>
      </c>
      <c r="B8" s="5" t="s">
        <v>9</v>
      </c>
    </row>
    <row r="9" customFormat="false" ht="15" hidden="false" customHeight="false" outlineLevel="0" collapsed="false">
      <c r="A9" s="3" t="s">
        <v>10</v>
      </c>
      <c r="B9" s="5" t="s">
        <v>11</v>
      </c>
    </row>
    <row r="10" customFormat="false" ht="15" hidden="false" customHeight="false" outlineLevel="0" collapsed="false">
      <c r="A10" s="3" t="s">
        <v>12</v>
      </c>
      <c r="B10" s="5" t="s">
        <v>13</v>
      </c>
    </row>
    <row r="11" customFormat="false" ht="15" hidden="false" customHeight="false" outlineLevel="0" collapsed="false">
      <c r="A11" s="6"/>
      <c r="B11" s="5"/>
    </row>
    <row r="12" customFormat="false" ht="15" hidden="false" customHeight="false" outlineLevel="0" collapsed="false">
      <c r="A12" s="3" t="s">
        <v>14</v>
      </c>
      <c r="B12" s="5"/>
    </row>
    <row r="13" customFormat="false" ht="15" hidden="false" customHeight="false" outlineLevel="0" collapsed="false">
      <c r="A13" s="4" t="s">
        <v>15</v>
      </c>
      <c r="B13" s="5" t="s">
        <v>16</v>
      </c>
    </row>
    <row r="14" customFormat="false" ht="15" hidden="false" customHeight="false" outlineLevel="0" collapsed="false">
      <c r="A14" s="4" t="s">
        <v>17</v>
      </c>
      <c r="B14" s="5" t="s">
        <v>18</v>
      </c>
    </row>
    <row r="15" customFormat="false" ht="15" hidden="false" customHeight="false" outlineLevel="0" collapsed="false">
      <c r="A15" s="4" t="s">
        <v>19</v>
      </c>
      <c r="B15" s="5" t="s">
        <v>20</v>
      </c>
    </row>
    <row r="16" customFormat="false" ht="15" hidden="false" customHeight="false" outlineLevel="0" collapsed="false">
      <c r="A16" s="4" t="s">
        <v>21</v>
      </c>
      <c r="B16" s="5" t="s">
        <v>22</v>
      </c>
    </row>
    <row r="17" customFormat="false" ht="15" hidden="false" customHeight="false" outlineLevel="0" collapsed="false">
      <c r="A17" s="4" t="s">
        <v>23</v>
      </c>
      <c r="B17" s="5" t="s">
        <v>24</v>
      </c>
    </row>
    <row r="18" customFormat="false" ht="15" hidden="false" customHeight="false" outlineLevel="0" collapsed="false">
      <c r="A18" s="4" t="s">
        <v>25</v>
      </c>
      <c r="B18" s="5" t="s">
        <v>26</v>
      </c>
    </row>
    <row r="19" customFormat="false" ht="15" hidden="false" customHeight="false" outlineLevel="0" collapsed="false">
      <c r="A19" s="4" t="s">
        <v>27</v>
      </c>
      <c r="B19" s="5" t="s">
        <v>28</v>
      </c>
    </row>
    <row r="20" customFormat="false" ht="15" hidden="false" customHeight="false" outlineLevel="0" collapsed="false">
      <c r="A20" s="4"/>
      <c r="B20" s="5"/>
    </row>
    <row r="21" customFormat="false" ht="15" hidden="false" customHeight="false" outlineLevel="0" collapsed="false">
      <c r="A21" s="7" t="s">
        <v>29</v>
      </c>
      <c r="B21" s="5" t="s">
        <v>30</v>
      </c>
    </row>
    <row r="22" customFormat="false" ht="26.85" hidden="false" customHeight="false" outlineLevel="0" collapsed="false">
      <c r="A22" s="4"/>
      <c r="B22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8"/>
  </cols>
  <sheetData>
    <row r="1" customFormat="false" ht="17.35" hidden="false" customHeight="false" outlineLevel="0" collapsed="false">
      <c r="A1" s="2" t="s">
        <v>32</v>
      </c>
    </row>
    <row r="2" customFormat="false" ht="15" hidden="false" customHeight="false" outlineLevel="0" collapsed="false">
      <c r="A2" s="4" t="s">
        <v>33</v>
      </c>
    </row>
    <row r="4" customFormat="false" ht="15" hidden="false" customHeight="false" outlineLevel="0" collapsed="false">
      <c r="A4" s="8" t="s">
        <v>34</v>
      </c>
    </row>
    <row r="5" customFormat="false" ht="15" hidden="false" customHeight="false" outlineLevel="0" collapsed="false">
      <c r="A5" s="4" t="s">
        <v>35</v>
      </c>
      <c r="B5" s="9" t="n">
        <v>42</v>
      </c>
      <c r="C5" s="4" t="s">
        <v>36</v>
      </c>
    </row>
    <row r="6" customFormat="false" ht="15" hidden="false" customHeight="false" outlineLevel="0" collapsed="false">
      <c r="A6" s="4" t="s">
        <v>37</v>
      </c>
      <c r="B6" s="10" t="n">
        <v>23.8</v>
      </c>
      <c r="C6" s="4" t="s">
        <v>36</v>
      </c>
    </row>
    <row r="7" customFormat="false" ht="15" hidden="false" customHeight="false" outlineLevel="0" collapsed="false">
      <c r="A7" s="4" t="s">
        <v>38</v>
      </c>
      <c r="B7" s="10" t="n">
        <v>58.8</v>
      </c>
      <c r="C7" s="4" t="s">
        <v>36</v>
      </c>
    </row>
    <row r="8" customFormat="false" ht="15" hidden="false" customHeight="false" outlineLevel="0" collapsed="false">
      <c r="A8" s="4" t="s">
        <v>39</v>
      </c>
      <c r="B8" s="10" t="n">
        <v>400</v>
      </c>
      <c r="C8" s="4" t="s">
        <v>36</v>
      </c>
    </row>
    <row r="9" customFormat="false" ht="15" hidden="false" customHeight="false" outlineLevel="0" collapsed="false">
      <c r="A9" s="4" t="s">
        <v>40</v>
      </c>
      <c r="B9" s="10" t="n">
        <v>800</v>
      </c>
      <c r="C9" s="4" t="s">
        <v>41</v>
      </c>
    </row>
    <row r="10" customFormat="false" ht="15" hidden="false" customHeight="false" outlineLevel="0" collapsed="false">
      <c r="A10" s="4" t="s">
        <v>42</v>
      </c>
      <c r="B10" s="10" t="n">
        <v>1000000</v>
      </c>
      <c r="C10" s="4" t="s">
        <v>43</v>
      </c>
    </row>
    <row r="11" customFormat="false" ht="15" hidden="false" customHeight="false" outlineLevel="0" collapsed="false">
      <c r="A11" s="4" t="s">
        <v>44</v>
      </c>
      <c r="B11" s="10" t="n">
        <v>11</v>
      </c>
      <c r="C11" s="4" t="s">
        <v>45</v>
      </c>
    </row>
    <row r="12" customFormat="false" ht="15" hidden="false" customHeight="false" outlineLevel="0" collapsed="false">
      <c r="A12" s="4" t="s">
        <v>46</v>
      </c>
      <c r="B12" s="10" t="n">
        <v>1</v>
      </c>
      <c r="C12" s="4" t="s">
        <v>45</v>
      </c>
    </row>
    <row r="13" customFormat="false" ht="15" hidden="false" customHeight="false" outlineLevel="0" collapsed="false">
      <c r="A13" s="4" t="s">
        <v>47</v>
      </c>
      <c r="B13" s="10" t="n">
        <v>3.7E-006</v>
      </c>
      <c r="C13" s="4" t="s">
        <v>48</v>
      </c>
    </row>
    <row r="14" customFormat="false" ht="15" hidden="false" customHeight="false" outlineLevel="0" collapsed="false">
      <c r="A14" s="4" t="s">
        <v>49</v>
      </c>
      <c r="B14" s="10" t="n">
        <v>0.000146</v>
      </c>
      <c r="C14" s="4" t="s">
        <v>50</v>
      </c>
    </row>
    <row r="15" customFormat="false" ht="15" hidden="false" customHeight="false" outlineLevel="0" collapsed="false">
      <c r="A15" s="4" t="s">
        <v>51</v>
      </c>
      <c r="B15" s="10" t="n">
        <v>50</v>
      </c>
      <c r="C15" s="4" t="s">
        <v>52</v>
      </c>
    </row>
    <row r="16" customFormat="false" ht="15" hidden="false" customHeight="false" outlineLevel="0" collapsed="false">
      <c r="A16" s="4" t="s">
        <v>53</v>
      </c>
      <c r="B16" s="10" t="n">
        <v>0.95</v>
      </c>
      <c r="C16" s="4" t="s">
        <v>45</v>
      </c>
    </row>
    <row r="17" customFormat="false" ht="15" hidden="false" customHeight="false" outlineLevel="0" collapsed="false">
      <c r="A17" s="4" t="s">
        <v>54</v>
      </c>
      <c r="B17" s="10" t="n">
        <v>1.2</v>
      </c>
      <c r="C17" s="4" t="s">
        <v>45</v>
      </c>
    </row>
    <row r="19" customFormat="false" ht="15" hidden="false" customHeight="false" outlineLevel="0" collapsed="false">
      <c r="A19" s="8" t="s">
        <v>55</v>
      </c>
    </row>
    <row r="20" customFormat="false" ht="15" hidden="false" customHeight="false" outlineLevel="0" collapsed="false">
      <c r="A20" s="4" t="s">
        <v>56</v>
      </c>
      <c r="B20" s="11" t="n">
        <f aca="false">$B$11*$B$12</f>
        <v>11</v>
      </c>
      <c r="C20" s="4" t="s">
        <v>45</v>
      </c>
    </row>
    <row r="21" customFormat="false" ht="15" hidden="false" customHeight="false" outlineLevel="0" collapsed="false">
      <c r="A21" s="4" t="s">
        <v>57</v>
      </c>
      <c r="B21" s="12" t="n">
        <f aca="false">$B$8/$B$11</f>
        <v>36.3636363636364</v>
      </c>
      <c r="C21" s="4" t="s">
        <v>36</v>
      </c>
    </row>
    <row r="22" customFormat="false" ht="15" hidden="false" customHeight="false" outlineLevel="0" collapsed="false">
      <c r="A22" s="4" t="s">
        <v>58</v>
      </c>
      <c r="B22" s="12" t="n">
        <f aca="false">$B$9/$B$5</f>
        <v>19.047619047619</v>
      </c>
      <c r="C22" s="4" t="s">
        <v>59</v>
      </c>
    </row>
    <row r="23" customFormat="false" ht="15" hidden="false" customHeight="false" outlineLevel="0" collapsed="false">
      <c r="A23" s="4" t="s">
        <v>60</v>
      </c>
      <c r="B23" s="12" t="n">
        <f aca="false">$B$9/($B$16*$B$6)</f>
        <v>35.3825740822645</v>
      </c>
      <c r="C23" s="4" t="s">
        <v>59</v>
      </c>
    </row>
    <row r="24" customFormat="false" ht="15" hidden="false" customHeight="false" outlineLevel="0" collapsed="false">
      <c r="A24" s="4" t="s">
        <v>61</v>
      </c>
      <c r="B24" s="13" t="n">
        <f aca="false">$B$15*PI()/180</f>
        <v>0.872664625997165</v>
      </c>
      <c r="C24" s="4" t="s">
        <v>62</v>
      </c>
    </row>
    <row r="25" customFormat="false" ht="15" hidden="false" customHeight="false" outlineLevel="0" collapsed="false">
      <c r="A25" s="4" t="s">
        <v>63</v>
      </c>
      <c r="B25" s="13" t="n">
        <f aca="false">B24*(1-B24/PI())</f>
        <v>0.630257785442397</v>
      </c>
      <c r="C25" s="4" t="s">
        <v>45</v>
      </c>
    </row>
    <row r="26" customFormat="false" ht="15" hidden="false" customHeight="false" outlineLevel="0" collapsed="false">
      <c r="A26" s="4" t="s">
        <v>64</v>
      </c>
      <c r="B26" s="14" t="n">
        <f aca="false">$B$5*B21*B25/(2*PI()*$B$10*$B$9)</f>
        <v>1.91498316498317E-007</v>
      </c>
      <c r="C26" s="4" t="s">
        <v>48</v>
      </c>
    </row>
    <row r="27" customFormat="false" ht="15" hidden="false" customHeight="false" outlineLevel="0" collapsed="false">
      <c r="A27" s="4" t="s">
        <v>65</v>
      </c>
      <c r="B27" s="11" t="n">
        <f aca="false">B26*1000000000</f>
        <v>191.498316498317</v>
      </c>
      <c r="C27" s="4" t="s">
        <v>66</v>
      </c>
    </row>
    <row r="28" customFormat="false" ht="15" hidden="false" customHeight="false" outlineLevel="0" collapsed="false">
      <c r="A28" s="4" t="s">
        <v>67</v>
      </c>
      <c r="B28" s="12" t="n">
        <f aca="false">B26*$B$11^2*1000000</f>
        <v>23.1712962962963</v>
      </c>
      <c r="C28" s="4" t="s">
        <v>68</v>
      </c>
    </row>
    <row r="29" customFormat="false" ht="15" hidden="false" customHeight="false" outlineLevel="0" collapsed="false">
      <c r="A29" s="4" t="s">
        <v>69</v>
      </c>
      <c r="B29" s="14" t="n">
        <f aca="false">$B$13*$B$12^2</f>
        <v>3.7E-006</v>
      </c>
      <c r="C29" s="4" t="s">
        <v>48</v>
      </c>
    </row>
    <row r="30" customFormat="false" ht="15" hidden="false" customHeight="false" outlineLevel="0" collapsed="false">
      <c r="A30" s="4" t="s">
        <v>70</v>
      </c>
      <c r="B30" s="15" t="n">
        <f aca="false">B26/B29</f>
        <v>0.0517563017563018</v>
      </c>
      <c r="C30" s="4" t="s">
        <v>71</v>
      </c>
    </row>
    <row r="31" customFormat="false" ht="15" hidden="false" customHeight="false" outlineLevel="0" collapsed="false">
      <c r="A31" s="4" t="s">
        <v>72</v>
      </c>
      <c r="B31" s="13" t="n">
        <f aca="false">$B$8/(4*$B$10*B20*$B$14)</f>
        <v>0.062266500622665</v>
      </c>
      <c r="C31" s="4" t="s">
        <v>73</v>
      </c>
    </row>
    <row r="32" customFormat="false" ht="15" hidden="false" customHeight="false" outlineLevel="0" collapsed="false">
      <c r="A32" s="4" t="s">
        <v>74</v>
      </c>
      <c r="B32" s="11" t="n">
        <f aca="false">B31*1000</f>
        <v>62.266500622665</v>
      </c>
      <c r="C32" s="4" t="s">
        <v>75</v>
      </c>
    </row>
    <row r="33" customFormat="false" ht="15" hidden="false" customHeight="false" outlineLevel="0" collapsed="false">
      <c r="A33" s="4" t="s">
        <v>76</v>
      </c>
      <c r="B33" s="11" t="n">
        <f aca="false">$B$5/(4*$B$10*$B$12*$B$14)*1000</f>
        <v>71.9178082191781</v>
      </c>
      <c r="C33" s="4" t="s">
        <v>75</v>
      </c>
    </row>
    <row r="34" customFormat="false" ht="15" hidden="false" customHeight="false" outlineLevel="0" collapsed="false">
      <c r="A34" s="4" t="s">
        <v>77</v>
      </c>
      <c r="B34" s="12" t="n">
        <f aca="false">$B$17*B22</f>
        <v>22.8571428571429</v>
      </c>
      <c r="C34" s="4" t="s">
        <v>59</v>
      </c>
    </row>
    <row r="35" customFormat="false" ht="15" hidden="false" customHeight="false" outlineLevel="0" collapsed="false">
      <c r="A35" s="4" t="s">
        <v>78</v>
      </c>
      <c r="B35" s="12" t="n">
        <f aca="false">$B$17*B23</f>
        <v>42.4590888987174</v>
      </c>
      <c r="C35" s="4" t="s">
        <v>59</v>
      </c>
    </row>
    <row r="36" customFormat="false" ht="15" hidden="false" customHeight="false" outlineLevel="0" collapsed="false">
      <c r="A36" s="8" t="s">
        <v>79</v>
      </c>
    </row>
    <row r="37" customFormat="false" ht="26.85" hidden="false" customHeight="false" outlineLevel="0" collapsed="false">
      <c r="A37" s="5" t="s">
        <v>80</v>
      </c>
    </row>
    <row r="38" customFormat="false" ht="39.55" hidden="false" customHeight="false" outlineLevel="0" collapsed="false">
      <c r="A38" s="5" t="s">
        <v>81</v>
      </c>
    </row>
    <row r="39" customFormat="false" ht="26.85" hidden="false" customHeight="false" outlineLevel="0" collapsed="false">
      <c r="A39" s="5" t="s">
        <v>82</v>
      </c>
    </row>
    <row r="40" customFormat="false" ht="26.85" hidden="false" customHeight="false" outlineLevel="0" collapsed="false">
      <c r="A40" s="5" t="s">
        <v>83</v>
      </c>
    </row>
    <row r="41" customFormat="false" ht="26.85" hidden="false" customHeight="false" outlineLevel="0" collapsed="false">
      <c r="A41" s="5" t="s">
        <v>84</v>
      </c>
    </row>
    <row r="42" customFormat="false" ht="26.85" hidden="false" customHeight="false" outlineLevel="0" collapsed="false">
      <c r="A42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60"/>
  </cols>
  <sheetData>
    <row r="1" customFormat="false" ht="17.35" hidden="false" customHeight="false" outlineLevel="0" collapsed="false">
      <c r="A1" s="2" t="s">
        <v>86</v>
      </c>
    </row>
    <row r="2" customFormat="false" ht="15" hidden="false" customHeight="false" outlineLevel="0" collapsed="false">
      <c r="A2" s="4" t="s">
        <v>87</v>
      </c>
    </row>
    <row r="4" customFormat="false" ht="26.85" hidden="false" customHeight="false" outlineLevel="0" collapsed="false">
      <c r="A4" s="16" t="s">
        <v>88</v>
      </c>
      <c r="B4" s="16" t="s">
        <v>89</v>
      </c>
      <c r="C4" s="16" t="s">
        <v>90</v>
      </c>
      <c r="D4" s="16" t="s">
        <v>91</v>
      </c>
      <c r="E4" s="16" t="s">
        <v>92</v>
      </c>
    </row>
    <row r="5" customFormat="false" ht="26.85" hidden="false" customHeight="false" outlineLevel="0" collapsed="false">
      <c r="A5" s="4" t="s">
        <v>93</v>
      </c>
      <c r="B5" s="10" t="n">
        <v>5</v>
      </c>
      <c r="C5" s="10" t="n">
        <v>11</v>
      </c>
      <c r="D5" s="17" t="s">
        <v>94</v>
      </c>
      <c r="E5" s="5" t="s">
        <v>95</v>
      </c>
    </row>
    <row r="6" customFormat="false" ht="15" hidden="false" customHeight="false" outlineLevel="0" collapsed="false">
      <c r="A6" s="4" t="s">
        <v>96</v>
      </c>
      <c r="B6" s="10" t="n">
        <v>5</v>
      </c>
      <c r="C6" s="10" t="n">
        <v>7</v>
      </c>
      <c r="D6" s="17" t="s">
        <v>94</v>
      </c>
      <c r="E6" s="5" t="s">
        <v>97</v>
      </c>
    </row>
    <row r="7" customFormat="false" ht="15" hidden="false" customHeight="false" outlineLevel="0" collapsed="false">
      <c r="A7" s="4" t="s">
        <v>98</v>
      </c>
      <c r="B7" s="10" t="n">
        <v>4</v>
      </c>
      <c r="C7" s="10" t="n">
        <v>6</v>
      </c>
      <c r="D7" s="17" t="s">
        <v>94</v>
      </c>
      <c r="E7" s="5" t="s">
        <v>99</v>
      </c>
    </row>
    <row r="8" customFormat="false" ht="15" hidden="false" customHeight="false" outlineLevel="0" collapsed="false">
      <c r="A8" s="4" t="s">
        <v>100</v>
      </c>
      <c r="B8" s="10" t="n">
        <v>2</v>
      </c>
      <c r="C8" s="10" t="n">
        <v>3</v>
      </c>
      <c r="D8" s="17" t="s">
        <v>94</v>
      </c>
      <c r="E8" s="5" t="s">
        <v>101</v>
      </c>
    </row>
    <row r="9" customFormat="false" ht="15" hidden="false" customHeight="false" outlineLevel="0" collapsed="false">
      <c r="A9" s="4" t="s">
        <v>102</v>
      </c>
      <c r="B9" s="10" t="n">
        <v>2</v>
      </c>
      <c r="C9" s="10" t="n">
        <v>4</v>
      </c>
      <c r="D9" s="17" t="s">
        <v>103</v>
      </c>
      <c r="E9" s="5" t="s">
        <v>104</v>
      </c>
    </row>
    <row r="10" customFormat="false" ht="15" hidden="false" customHeight="false" outlineLevel="0" collapsed="false">
      <c r="A10" s="3" t="s">
        <v>105</v>
      </c>
      <c r="B10" s="3" t="n">
        <f aca="false">SUM(B5:B9)</f>
        <v>18</v>
      </c>
      <c r="C10" s="3" t="n">
        <f aca="false">SUM(C5:C9)</f>
        <v>31</v>
      </c>
    </row>
    <row r="11" customFormat="false" ht="15" hidden="false" customHeight="false" outlineLevel="0" collapsed="false">
      <c r="A11" s="4" t="s">
        <v>106</v>
      </c>
      <c r="B11" s="10" t="n">
        <v>800</v>
      </c>
    </row>
    <row r="12" customFormat="false" ht="15" hidden="false" customHeight="false" outlineLevel="0" collapsed="false">
      <c r="A12" s="3" t="s">
        <v>107</v>
      </c>
      <c r="B12" s="18" t="n">
        <f aca="false">B11/(B11+B10)</f>
        <v>0.97799511002445</v>
      </c>
      <c r="C12" s="18" t="n">
        <f aca="false">B11/(B11+C10)</f>
        <v>0.962695547533093</v>
      </c>
    </row>
    <row r="14" customFormat="false" ht="15" hidden="false" customHeight="false" outlineLevel="0" collapsed="false">
      <c r="A14" s="8" t="s">
        <v>108</v>
      </c>
    </row>
    <row r="15" customFormat="false" ht="39.55" hidden="false" customHeight="false" outlineLevel="0" collapsed="false">
      <c r="A15" s="5" t="s">
        <v>109</v>
      </c>
    </row>
    <row r="16" customFormat="false" ht="39.55" hidden="false" customHeight="false" outlineLevel="0" collapsed="false">
      <c r="A16" s="5" t="s">
        <v>110</v>
      </c>
    </row>
    <row r="17" customFormat="false" ht="39.55" hidden="false" customHeight="false" outlineLevel="0" collapsed="false">
      <c r="A17" s="5" t="s">
        <v>111</v>
      </c>
    </row>
    <row r="18" customFormat="false" ht="52.2" hidden="false" customHeight="false" outlineLevel="0" collapsed="false">
      <c r="A18" s="5" t="s">
        <v>112</v>
      </c>
    </row>
    <row r="19" customFormat="false" ht="39.55" hidden="false" customHeight="false" outlineLevel="0" collapsed="false">
      <c r="A19" s="5" t="s">
        <v>113</v>
      </c>
    </row>
    <row r="20" customFormat="false" ht="39.55" hidden="false" customHeight="false" outlineLevel="0" collapsed="false">
      <c r="A20" s="5" t="s">
        <v>114</v>
      </c>
    </row>
    <row r="21" customFormat="false" ht="39.55" hidden="false" customHeight="false" outlineLevel="0" collapsed="false">
      <c r="A21" s="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25.87"/>
    <col collapsed="false" customWidth="true" hidden="false" outlineLevel="0" max="7" min="7" style="1" width="5"/>
    <col collapsed="false" customWidth="true" hidden="false" outlineLevel="0" max="9" min="8" style="1" width="9"/>
    <col collapsed="false" customWidth="true" hidden="false" outlineLevel="0" max="10" min="10" style="1" width="18"/>
    <col collapsed="false" customWidth="true" hidden="false" outlineLevel="0" max="11" min="11" style="1" width="40"/>
    <col collapsed="false" customWidth="true" hidden="false" outlineLevel="0" max="12" min="12" style="1" width="6"/>
    <col collapsed="false" customWidth="true" hidden="false" outlineLevel="0" max="13" min="13" style="1" width="34"/>
  </cols>
  <sheetData>
    <row r="1" customFormat="false" ht="17.35" hidden="false" customHeight="false" outlineLevel="0" collapsed="false">
      <c r="A1" s="2" t="s">
        <v>116</v>
      </c>
    </row>
    <row r="2" customFormat="false" ht="15" hidden="false" customHeight="false" outlineLevel="0" collapsed="false">
      <c r="A2" s="4" t="s">
        <v>117</v>
      </c>
    </row>
    <row r="4" customFormat="false" ht="26.85" hidden="false" customHeight="false" outlineLevel="0" collapsed="false">
      <c r="A4" s="16" t="s">
        <v>118</v>
      </c>
      <c r="B4" s="16" t="s">
        <v>88</v>
      </c>
      <c r="C4" s="16" t="s">
        <v>119</v>
      </c>
      <c r="D4" s="16" t="s">
        <v>120</v>
      </c>
      <c r="E4" s="16" t="s">
        <v>121</v>
      </c>
      <c r="F4" s="16" t="s">
        <v>122</v>
      </c>
      <c r="G4" s="16" t="s">
        <v>123</v>
      </c>
      <c r="H4" s="16" t="s">
        <v>124</v>
      </c>
      <c r="I4" s="16" t="s">
        <v>125</v>
      </c>
      <c r="J4" s="16" t="s">
        <v>126</v>
      </c>
      <c r="K4" s="16" t="s">
        <v>127</v>
      </c>
      <c r="L4" s="16" t="s">
        <v>128</v>
      </c>
      <c r="M4" s="16" t="s">
        <v>129</v>
      </c>
    </row>
    <row r="5" customFormat="false" ht="39.55" hidden="false" customHeight="false" outlineLevel="0" collapsed="false">
      <c r="A5" s="4" t="n">
        <v>1</v>
      </c>
      <c r="B5" s="4" t="s">
        <v>130</v>
      </c>
      <c r="C5" s="5" t="s">
        <v>131</v>
      </c>
      <c r="D5" s="4" t="s">
        <v>132</v>
      </c>
      <c r="E5" s="4" t="s">
        <v>133</v>
      </c>
      <c r="F5" s="4" t="s">
        <v>134</v>
      </c>
      <c r="G5" s="10" t="n">
        <v>2</v>
      </c>
      <c r="H5" s="19" t="n">
        <v>8</v>
      </c>
      <c r="I5" s="20" t="n">
        <f aca="false">G5*H5</f>
        <v>16</v>
      </c>
      <c r="J5" s="5" t="s">
        <v>135</v>
      </c>
      <c r="K5" s="5" t="s">
        <v>136</v>
      </c>
      <c r="L5" s="17" t="s">
        <v>94</v>
      </c>
      <c r="M5" s="5" t="s">
        <v>137</v>
      </c>
    </row>
    <row r="6" customFormat="false" ht="26.85" hidden="false" customHeight="false" outlineLevel="0" collapsed="false">
      <c r="A6" s="4" t="n">
        <v>2</v>
      </c>
      <c r="B6" s="4" t="s">
        <v>138</v>
      </c>
      <c r="C6" s="5" t="s">
        <v>139</v>
      </c>
      <c r="D6" s="4" t="s">
        <v>140</v>
      </c>
      <c r="E6" s="4" t="s">
        <v>133</v>
      </c>
      <c r="F6" s="4" t="s">
        <v>134</v>
      </c>
      <c r="G6" s="10" t="n">
        <v>0</v>
      </c>
      <c r="H6" s="19" t="n">
        <v>6</v>
      </c>
      <c r="I6" s="20" t="n">
        <f aca="false">G6*H6</f>
        <v>0</v>
      </c>
      <c r="J6" s="5" t="s">
        <v>141</v>
      </c>
      <c r="K6" s="5" t="s">
        <v>142</v>
      </c>
      <c r="L6" s="17" t="s">
        <v>94</v>
      </c>
      <c r="M6" s="5" t="s">
        <v>143</v>
      </c>
    </row>
    <row r="7" customFormat="false" ht="39.55" hidden="false" customHeight="false" outlineLevel="0" collapsed="false">
      <c r="A7" s="4" t="n">
        <v>3</v>
      </c>
      <c r="B7" s="4" t="s">
        <v>144</v>
      </c>
      <c r="C7" s="5" t="s">
        <v>145</v>
      </c>
      <c r="D7" s="4" t="s">
        <v>146</v>
      </c>
      <c r="E7" s="4" t="s">
        <v>147</v>
      </c>
      <c r="F7" s="4" t="s">
        <v>148</v>
      </c>
      <c r="G7" s="10" t="n">
        <v>4</v>
      </c>
      <c r="H7" s="19" t="n">
        <v>0.5</v>
      </c>
      <c r="I7" s="20" t="n">
        <f aca="false">G7*H7</f>
        <v>2</v>
      </c>
      <c r="J7" s="5" t="s">
        <v>149</v>
      </c>
      <c r="K7" s="5" t="s">
        <v>150</v>
      </c>
      <c r="L7" s="17" t="s">
        <v>94</v>
      </c>
      <c r="M7" s="5" t="s">
        <v>151</v>
      </c>
    </row>
    <row r="8" customFormat="false" ht="39.55" hidden="false" customHeight="false" outlineLevel="0" collapsed="false">
      <c r="A8" s="4" t="n">
        <v>4</v>
      </c>
      <c r="B8" s="4" t="s">
        <v>152</v>
      </c>
      <c r="C8" s="5" t="s">
        <v>153</v>
      </c>
      <c r="D8" s="4" t="s">
        <v>154</v>
      </c>
      <c r="E8" s="4" t="s">
        <v>155</v>
      </c>
      <c r="F8" s="4" t="s">
        <v>156</v>
      </c>
      <c r="G8" s="10" t="n">
        <v>1</v>
      </c>
      <c r="H8" s="19" t="n">
        <v>8</v>
      </c>
      <c r="I8" s="20" t="n">
        <f aca="false">G8*H8</f>
        <v>8</v>
      </c>
      <c r="J8" s="5" t="s">
        <v>157</v>
      </c>
      <c r="K8" s="5" t="s">
        <v>158</v>
      </c>
      <c r="L8" s="17" t="s">
        <v>94</v>
      </c>
      <c r="M8" s="5" t="s">
        <v>159</v>
      </c>
    </row>
    <row r="9" customFormat="false" ht="26.85" hidden="false" customHeight="false" outlineLevel="0" collapsed="false">
      <c r="A9" s="4" t="n">
        <v>5</v>
      </c>
      <c r="B9" s="4" t="s">
        <v>152</v>
      </c>
      <c r="C9" s="5" t="s">
        <v>160</v>
      </c>
      <c r="D9" s="4" t="s">
        <v>161</v>
      </c>
      <c r="E9" s="4" t="s">
        <v>155</v>
      </c>
      <c r="F9" s="4" t="s">
        <v>162</v>
      </c>
      <c r="G9" s="10" t="n">
        <v>1</v>
      </c>
      <c r="H9" s="19" t="n">
        <v>4</v>
      </c>
      <c r="I9" s="20" t="n">
        <f aca="false">G9*H9</f>
        <v>4</v>
      </c>
      <c r="J9" s="5" t="s">
        <v>163</v>
      </c>
      <c r="K9" s="5" t="s">
        <v>164</v>
      </c>
      <c r="L9" s="17" t="s">
        <v>94</v>
      </c>
      <c r="M9" s="5" t="s">
        <v>165</v>
      </c>
    </row>
    <row r="10" customFormat="false" ht="26.85" hidden="false" customHeight="false" outlineLevel="0" collapsed="false">
      <c r="A10" s="4" t="n">
        <v>6</v>
      </c>
      <c r="B10" s="4" t="s">
        <v>152</v>
      </c>
      <c r="C10" s="5" t="s">
        <v>166</v>
      </c>
      <c r="D10" s="4" t="s">
        <v>167</v>
      </c>
      <c r="E10" s="4" t="s">
        <v>168</v>
      </c>
      <c r="F10" s="4" t="s">
        <v>162</v>
      </c>
      <c r="G10" s="10" t="n">
        <v>1</v>
      </c>
      <c r="H10" s="19" t="n">
        <v>15</v>
      </c>
      <c r="I10" s="20" t="n">
        <f aca="false">G10*H10</f>
        <v>15</v>
      </c>
      <c r="J10" s="5" t="s">
        <v>169</v>
      </c>
      <c r="K10" s="5" t="s">
        <v>170</v>
      </c>
      <c r="L10" s="17" t="s">
        <v>103</v>
      </c>
      <c r="M10" s="5" t="s">
        <v>171</v>
      </c>
    </row>
    <row r="11" customFormat="false" ht="39.55" hidden="false" customHeight="false" outlineLevel="0" collapsed="false">
      <c r="A11" s="4" t="n">
        <v>7</v>
      </c>
      <c r="B11" s="4" t="s">
        <v>152</v>
      </c>
      <c r="C11" s="5" t="s">
        <v>172</v>
      </c>
      <c r="D11" s="4" t="s">
        <v>173</v>
      </c>
      <c r="E11" s="4" t="s">
        <v>174</v>
      </c>
      <c r="F11" s="4" t="s">
        <v>162</v>
      </c>
      <c r="G11" s="10" t="n">
        <v>1</v>
      </c>
      <c r="H11" s="19" t="n">
        <v>25</v>
      </c>
      <c r="I11" s="20" t="n">
        <f aca="false">G11*H11</f>
        <v>25</v>
      </c>
      <c r="J11" s="5" t="s">
        <v>175</v>
      </c>
      <c r="K11" s="5" t="s">
        <v>170</v>
      </c>
      <c r="L11" s="17" t="s">
        <v>103</v>
      </c>
      <c r="M11" s="5" t="s">
        <v>176</v>
      </c>
    </row>
    <row r="12" customFormat="false" ht="52.2" hidden="false" customHeight="false" outlineLevel="0" collapsed="false">
      <c r="A12" s="4" t="n">
        <v>8</v>
      </c>
      <c r="B12" s="4" t="s">
        <v>177</v>
      </c>
      <c r="C12" s="5" t="s">
        <v>178</v>
      </c>
      <c r="D12" s="4" t="s">
        <v>179</v>
      </c>
      <c r="E12" s="4" t="s">
        <v>180</v>
      </c>
      <c r="F12" s="4" t="s">
        <v>181</v>
      </c>
      <c r="G12" s="10" t="n">
        <v>1</v>
      </c>
      <c r="H12" s="19" t="n">
        <v>8</v>
      </c>
      <c r="I12" s="20" t="n">
        <f aca="false">G12*H12</f>
        <v>8</v>
      </c>
      <c r="J12" s="5" t="s">
        <v>182</v>
      </c>
      <c r="K12" s="5" t="s">
        <v>183</v>
      </c>
      <c r="L12" s="17" t="s">
        <v>94</v>
      </c>
      <c r="M12" s="5" t="s">
        <v>184</v>
      </c>
    </row>
    <row r="13" customFormat="false" ht="39.55" hidden="false" customHeight="false" outlineLevel="0" collapsed="false">
      <c r="A13" s="4" t="n">
        <v>9</v>
      </c>
      <c r="B13" s="4" t="s">
        <v>185</v>
      </c>
      <c r="C13" s="5" t="s">
        <v>186</v>
      </c>
      <c r="D13" s="4" t="s">
        <v>187</v>
      </c>
      <c r="E13" s="4" t="s">
        <v>180</v>
      </c>
      <c r="F13" s="4" t="s">
        <v>181</v>
      </c>
      <c r="G13" s="10" t="n">
        <v>1</v>
      </c>
      <c r="H13" s="19" t="n">
        <v>8</v>
      </c>
      <c r="I13" s="20" t="n">
        <f aca="false">G13*H13</f>
        <v>8</v>
      </c>
      <c r="J13" s="5" t="s">
        <v>182</v>
      </c>
      <c r="K13" s="5" t="s">
        <v>183</v>
      </c>
      <c r="L13" s="17" t="s">
        <v>94</v>
      </c>
      <c r="M13" s="5" t="s">
        <v>188</v>
      </c>
    </row>
    <row r="14" customFormat="false" ht="39.55" hidden="false" customHeight="false" outlineLevel="0" collapsed="false">
      <c r="A14" s="4" t="n">
        <v>10</v>
      </c>
      <c r="B14" s="4" t="s">
        <v>189</v>
      </c>
      <c r="C14" s="5" t="s">
        <v>190</v>
      </c>
      <c r="D14" s="4" t="s">
        <v>191</v>
      </c>
      <c r="E14" s="4" t="s">
        <v>180</v>
      </c>
      <c r="F14" s="4" t="s">
        <v>181</v>
      </c>
      <c r="G14" s="10" t="n">
        <v>1</v>
      </c>
      <c r="H14" s="19" t="n">
        <v>5</v>
      </c>
      <c r="I14" s="20" t="n">
        <f aca="false">G14*H14</f>
        <v>5</v>
      </c>
      <c r="J14" s="5" t="s">
        <v>182</v>
      </c>
      <c r="K14" s="5" t="s">
        <v>183</v>
      </c>
      <c r="L14" s="17" t="s">
        <v>94</v>
      </c>
      <c r="M14" s="5" t="s">
        <v>192</v>
      </c>
    </row>
    <row r="15" customFormat="false" ht="39.55" hidden="false" customHeight="false" outlineLevel="0" collapsed="false">
      <c r="A15" s="4" t="n">
        <v>11</v>
      </c>
      <c r="B15" s="4" t="s">
        <v>189</v>
      </c>
      <c r="C15" s="5" t="s">
        <v>193</v>
      </c>
      <c r="D15" s="4" t="s">
        <v>194</v>
      </c>
      <c r="E15" s="4" t="s">
        <v>180</v>
      </c>
      <c r="F15" s="4" t="s">
        <v>181</v>
      </c>
      <c r="G15" s="10" t="n">
        <v>1</v>
      </c>
      <c r="H15" s="19" t="n">
        <v>3</v>
      </c>
      <c r="I15" s="20" t="n">
        <f aca="false">G15*H15</f>
        <v>3</v>
      </c>
      <c r="J15" s="5" t="s">
        <v>182</v>
      </c>
      <c r="K15" s="5" t="s">
        <v>183</v>
      </c>
      <c r="L15" s="17" t="s">
        <v>94</v>
      </c>
      <c r="M15" s="5" t="s">
        <v>195</v>
      </c>
    </row>
    <row r="16" customFormat="false" ht="39.55" hidden="false" customHeight="false" outlineLevel="0" collapsed="false">
      <c r="A16" s="4" t="n">
        <v>12</v>
      </c>
      <c r="B16" s="4" t="s">
        <v>196</v>
      </c>
      <c r="C16" s="5" t="s">
        <v>197</v>
      </c>
      <c r="D16" s="4" t="s">
        <v>198</v>
      </c>
      <c r="E16" s="4" t="s">
        <v>180</v>
      </c>
      <c r="F16" s="4" t="s">
        <v>181</v>
      </c>
      <c r="G16" s="10" t="n">
        <v>1</v>
      </c>
      <c r="H16" s="19" t="n">
        <v>6</v>
      </c>
      <c r="I16" s="20" t="n">
        <f aca="false">G16*H16</f>
        <v>6</v>
      </c>
      <c r="J16" s="5" t="s">
        <v>182</v>
      </c>
      <c r="K16" s="5" t="s">
        <v>183</v>
      </c>
      <c r="L16" s="17" t="s">
        <v>94</v>
      </c>
      <c r="M16" s="5" t="s">
        <v>199</v>
      </c>
    </row>
    <row r="17" customFormat="false" ht="26.85" hidden="false" customHeight="false" outlineLevel="0" collapsed="false">
      <c r="A17" s="4" t="n">
        <v>13</v>
      </c>
      <c r="B17" s="4" t="s">
        <v>200</v>
      </c>
      <c r="C17" s="5" t="s">
        <v>201</v>
      </c>
      <c r="D17" s="4" t="s">
        <v>202</v>
      </c>
      <c r="E17" s="4" t="s">
        <v>180</v>
      </c>
      <c r="F17" s="4" t="s">
        <v>181</v>
      </c>
      <c r="G17" s="10" t="n">
        <v>1</v>
      </c>
      <c r="H17" s="19" t="n">
        <v>4</v>
      </c>
      <c r="I17" s="20" t="n">
        <f aca="false">G17*H17</f>
        <v>4</v>
      </c>
      <c r="J17" s="5" t="s">
        <v>182</v>
      </c>
      <c r="K17" s="5" t="s">
        <v>183</v>
      </c>
      <c r="L17" s="17" t="s">
        <v>94</v>
      </c>
      <c r="M17" s="5" t="s">
        <v>203</v>
      </c>
    </row>
    <row r="18" customFormat="false" ht="15" hidden="false" customHeight="false" outlineLevel="0" collapsed="false">
      <c r="A18" s="4" t="n">
        <v>14</v>
      </c>
      <c r="B18" s="4" t="s">
        <v>200</v>
      </c>
      <c r="C18" s="5" t="s">
        <v>204</v>
      </c>
      <c r="D18" s="4" t="s">
        <v>205</v>
      </c>
      <c r="E18" s="4" t="s">
        <v>180</v>
      </c>
      <c r="F18" s="4" t="s">
        <v>181</v>
      </c>
      <c r="G18" s="10" t="n">
        <v>1</v>
      </c>
      <c r="H18" s="19" t="n">
        <v>3</v>
      </c>
      <c r="I18" s="20" t="n">
        <f aca="false">G18*H18</f>
        <v>3</v>
      </c>
      <c r="J18" s="5" t="s">
        <v>182</v>
      </c>
      <c r="K18" s="5" t="s">
        <v>183</v>
      </c>
      <c r="L18" s="17" t="s">
        <v>94</v>
      </c>
      <c r="M18" s="5"/>
    </row>
    <row r="19" customFormat="false" ht="26.85" hidden="false" customHeight="false" outlineLevel="0" collapsed="false">
      <c r="A19" s="4" t="n">
        <v>15</v>
      </c>
      <c r="B19" s="4" t="s">
        <v>200</v>
      </c>
      <c r="C19" s="5" t="s">
        <v>206</v>
      </c>
      <c r="D19" s="4" t="s">
        <v>207</v>
      </c>
      <c r="E19" s="4" t="s">
        <v>180</v>
      </c>
      <c r="F19" s="4" t="s">
        <v>181</v>
      </c>
      <c r="G19" s="10" t="n">
        <v>1</v>
      </c>
      <c r="H19" s="19" t="n">
        <v>2</v>
      </c>
      <c r="I19" s="20" t="n">
        <f aca="false">G19*H19</f>
        <v>2</v>
      </c>
      <c r="J19" s="5" t="s">
        <v>182</v>
      </c>
      <c r="K19" s="5" t="s">
        <v>208</v>
      </c>
      <c r="L19" s="17" t="s">
        <v>48</v>
      </c>
      <c r="M19" s="5" t="s">
        <v>209</v>
      </c>
    </row>
    <row r="20" customFormat="false" ht="26.85" hidden="false" customHeight="false" outlineLevel="0" collapsed="false">
      <c r="A20" s="4" t="n">
        <v>16</v>
      </c>
      <c r="B20" s="4" t="s">
        <v>200</v>
      </c>
      <c r="C20" s="5" t="s">
        <v>210</v>
      </c>
      <c r="D20" s="4" t="s">
        <v>211</v>
      </c>
      <c r="E20" s="4" t="s">
        <v>180</v>
      </c>
      <c r="F20" s="4" t="s">
        <v>181</v>
      </c>
      <c r="G20" s="10" t="n">
        <v>1</v>
      </c>
      <c r="H20" s="19" t="n">
        <v>2</v>
      </c>
      <c r="I20" s="20" t="n">
        <f aca="false">G20*H20</f>
        <v>2</v>
      </c>
      <c r="J20" s="5" t="s">
        <v>182</v>
      </c>
      <c r="K20" s="5" t="s">
        <v>183</v>
      </c>
      <c r="L20" s="17" t="s">
        <v>48</v>
      </c>
      <c r="M20" s="5" t="s">
        <v>212</v>
      </c>
    </row>
    <row r="21" customFormat="false" ht="26.85" hidden="false" customHeight="false" outlineLevel="0" collapsed="false">
      <c r="A21" s="4" t="n">
        <v>17</v>
      </c>
      <c r="B21" s="4" t="s">
        <v>213</v>
      </c>
      <c r="C21" s="5" t="s">
        <v>214</v>
      </c>
      <c r="D21" s="4" t="s">
        <v>215</v>
      </c>
      <c r="E21" s="4" t="s">
        <v>180</v>
      </c>
      <c r="F21" s="4" t="s">
        <v>181</v>
      </c>
      <c r="G21" s="10" t="n">
        <v>1</v>
      </c>
      <c r="H21" s="19" t="n">
        <v>1</v>
      </c>
      <c r="I21" s="20" t="n">
        <f aca="false">G21*H21</f>
        <v>1</v>
      </c>
      <c r="J21" s="5" t="s">
        <v>182</v>
      </c>
      <c r="K21" s="5" t="s">
        <v>183</v>
      </c>
      <c r="L21" s="17" t="s">
        <v>48</v>
      </c>
      <c r="M21" s="5" t="s">
        <v>216</v>
      </c>
    </row>
    <row r="22" customFormat="false" ht="39.55" hidden="false" customHeight="false" outlineLevel="0" collapsed="false">
      <c r="A22" s="4" t="n">
        <v>18</v>
      </c>
      <c r="B22" s="4" t="s">
        <v>217</v>
      </c>
      <c r="C22" s="5" t="s">
        <v>218</v>
      </c>
      <c r="D22" s="4" t="s">
        <v>219</v>
      </c>
      <c r="E22" s="4" t="s">
        <v>180</v>
      </c>
      <c r="F22" s="4" t="s">
        <v>181</v>
      </c>
      <c r="G22" s="10" t="n">
        <v>1</v>
      </c>
      <c r="H22" s="19" t="n">
        <v>5</v>
      </c>
      <c r="I22" s="20" t="n">
        <f aca="false">G22*H22</f>
        <v>5</v>
      </c>
      <c r="J22" s="5" t="s">
        <v>182</v>
      </c>
      <c r="K22" s="5" t="s">
        <v>183</v>
      </c>
      <c r="L22" s="17" t="s">
        <v>94</v>
      </c>
      <c r="M22" s="5" t="s">
        <v>220</v>
      </c>
    </row>
    <row r="23" customFormat="false" ht="26.85" hidden="false" customHeight="false" outlineLevel="0" collapsed="false">
      <c r="A23" s="4" t="n">
        <v>19</v>
      </c>
      <c r="B23" s="4" t="s">
        <v>221</v>
      </c>
      <c r="C23" s="5" t="s">
        <v>222</v>
      </c>
      <c r="D23" s="4" t="s">
        <v>223</v>
      </c>
      <c r="E23" s="4" t="s">
        <v>180</v>
      </c>
      <c r="F23" s="4" t="s">
        <v>224</v>
      </c>
      <c r="G23" s="10" t="n">
        <v>1</v>
      </c>
      <c r="H23" s="19" t="n">
        <v>6</v>
      </c>
      <c r="I23" s="20" t="n">
        <f aca="false">G23*H23</f>
        <v>6</v>
      </c>
      <c r="J23" s="5" t="s">
        <v>225</v>
      </c>
      <c r="K23" s="5" t="s">
        <v>183</v>
      </c>
      <c r="L23" s="17" t="s">
        <v>103</v>
      </c>
      <c r="M23" s="5" t="s">
        <v>226</v>
      </c>
    </row>
    <row r="24" customFormat="false" ht="39.55" hidden="false" customHeight="false" outlineLevel="0" collapsed="false">
      <c r="A24" s="4" t="n">
        <v>20</v>
      </c>
      <c r="B24" s="4" t="s">
        <v>227</v>
      </c>
      <c r="C24" s="5" t="s">
        <v>228</v>
      </c>
      <c r="D24" s="4" t="s">
        <v>229</v>
      </c>
      <c r="E24" s="4" t="s">
        <v>230</v>
      </c>
      <c r="F24" s="4" t="s">
        <v>230</v>
      </c>
      <c r="G24" s="10" t="n">
        <v>1</v>
      </c>
      <c r="H24" s="19" t="n">
        <v>20</v>
      </c>
      <c r="I24" s="20" t="n">
        <f aca="false">G24*H24</f>
        <v>20</v>
      </c>
      <c r="J24" s="5" t="s">
        <v>231</v>
      </c>
      <c r="K24" s="5" t="s">
        <v>232</v>
      </c>
      <c r="L24" s="17" t="s">
        <v>103</v>
      </c>
      <c r="M24" s="5" t="s">
        <v>233</v>
      </c>
    </row>
    <row r="25" customFormat="false" ht="15" hidden="false" customHeight="false" outlineLevel="0" collapsed="false">
      <c r="H25" s="3" t="s">
        <v>234</v>
      </c>
      <c r="I25" s="21" t="n">
        <f aca="false">SUM(I5:I24)</f>
        <v>143</v>
      </c>
    </row>
    <row r="27" customFormat="false" ht="15" hidden="false" customHeight="false" outlineLevel="0" collapsed="false">
      <c r="B27" s="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2"/>
    <col collapsed="false" customWidth="true" hidden="false" outlineLevel="0" max="4" min="4" style="1" width="55"/>
  </cols>
  <sheetData>
    <row r="1" customFormat="false" ht="17.35" hidden="false" customHeight="false" outlineLevel="0" collapsed="false">
      <c r="A1" s="2" t="s">
        <v>236</v>
      </c>
    </row>
    <row r="3" customFormat="false" ht="15" hidden="false" customHeight="false" outlineLevel="0" collapsed="false">
      <c r="A3" s="4" t="s">
        <v>237</v>
      </c>
      <c r="B3" s="22" t="n">
        <v>0.79</v>
      </c>
      <c r="C3" s="4" t="s">
        <v>238</v>
      </c>
    </row>
    <row r="5" customFormat="false" ht="15" hidden="false" customHeight="false" outlineLevel="0" collapsed="false">
      <c r="A5" s="16" t="s">
        <v>239</v>
      </c>
      <c r="B5" s="16" t="s">
        <v>240</v>
      </c>
      <c r="C5" s="16" t="s">
        <v>91</v>
      </c>
      <c r="D5" s="16" t="s">
        <v>241</v>
      </c>
    </row>
    <row r="6" customFormat="false" ht="15" hidden="false" customHeight="false" outlineLevel="0" collapsed="false">
      <c r="A6" s="4" t="s">
        <v>242</v>
      </c>
      <c r="B6" s="23" t="n">
        <f aca="false">BOM!I5+BOM!I6</f>
        <v>16</v>
      </c>
      <c r="C6" s="17" t="s">
        <v>94</v>
      </c>
      <c r="D6" s="5" t="s">
        <v>243</v>
      </c>
    </row>
    <row r="7" customFormat="false" ht="15" hidden="false" customHeight="false" outlineLevel="0" collapsed="false">
      <c r="A7" s="4" t="s">
        <v>244</v>
      </c>
      <c r="B7" s="23" t="n">
        <f aca="false">SUM(BOM!I8:I11)</f>
        <v>52</v>
      </c>
      <c r="C7" s="17" t="s">
        <v>103</v>
      </c>
      <c r="D7" s="5" t="s">
        <v>245</v>
      </c>
    </row>
    <row r="8" customFormat="false" ht="15" hidden="false" customHeight="false" outlineLevel="0" collapsed="false">
      <c r="A8" s="4" t="s">
        <v>246</v>
      </c>
      <c r="B8" s="23" t="n">
        <f aca="false">SUM(BOM!I12:I13)</f>
        <v>16</v>
      </c>
      <c r="C8" s="17" t="s">
        <v>94</v>
      </c>
      <c r="D8" s="5" t="s">
        <v>247</v>
      </c>
    </row>
    <row r="9" customFormat="false" ht="15" hidden="false" customHeight="false" outlineLevel="0" collapsed="false">
      <c r="A9" s="4" t="s">
        <v>248</v>
      </c>
      <c r="B9" s="23" t="n">
        <f aca="false">SUM(BOM!I14:I21)</f>
        <v>26</v>
      </c>
      <c r="C9" s="17" t="s">
        <v>94</v>
      </c>
      <c r="D9" s="5" t="s">
        <v>249</v>
      </c>
    </row>
    <row r="10" customFormat="false" ht="15" hidden="false" customHeight="false" outlineLevel="0" collapsed="false">
      <c r="A10" s="4" t="s">
        <v>250</v>
      </c>
      <c r="B10" s="23" t="n">
        <f aca="false">BOM!I22</f>
        <v>5</v>
      </c>
      <c r="C10" s="17" t="s">
        <v>94</v>
      </c>
      <c r="D10" s="5" t="s">
        <v>251</v>
      </c>
    </row>
    <row r="11" customFormat="false" ht="15" hidden="false" customHeight="false" outlineLevel="0" collapsed="false">
      <c r="A11" s="4" t="s">
        <v>221</v>
      </c>
      <c r="B11" s="23" t="n">
        <f aca="false">BOM!I23</f>
        <v>6</v>
      </c>
      <c r="C11" s="17" t="s">
        <v>103</v>
      </c>
      <c r="D11" s="5" t="s">
        <v>252</v>
      </c>
    </row>
    <row r="12" customFormat="false" ht="15" hidden="false" customHeight="false" outlineLevel="0" collapsed="false">
      <c r="A12" s="4" t="s">
        <v>253</v>
      </c>
      <c r="B12" s="23" t="n">
        <f aca="false">BOM!I24</f>
        <v>20</v>
      </c>
      <c r="C12" s="17" t="s">
        <v>103</v>
      </c>
      <c r="D12" s="5" t="s">
        <v>254</v>
      </c>
    </row>
    <row r="13" customFormat="false" ht="15" hidden="false" customHeight="false" outlineLevel="0" collapsed="false">
      <c r="A13" s="3" t="s">
        <v>255</v>
      </c>
      <c r="B13" s="21" t="n">
        <f aca="false">SUM(B6:B12)</f>
        <v>141</v>
      </c>
    </row>
    <row r="15" customFormat="false" ht="15" hidden="false" customHeight="false" outlineLevel="0" collapsed="false">
      <c r="A15" s="8" t="s">
        <v>256</v>
      </c>
    </row>
    <row r="16" customFormat="false" ht="15" hidden="false" customHeight="false" outlineLevel="0" collapsed="false">
      <c r="A16" s="4" t="s">
        <v>257</v>
      </c>
      <c r="B16" s="10" t="n">
        <v>0.75</v>
      </c>
    </row>
    <row r="17" customFormat="false" ht="15" hidden="false" customHeight="false" outlineLevel="0" collapsed="false">
      <c r="A17" s="4" t="s">
        <v>258</v>
      </c>
      <c r="B17" s="10" t="n">
        <v>1.55</v>
      </c>
    </row>
    <row r="18" customFormat="false" ht="15" hidden="false" customHeight="false" outlineLevel="0" collapsed="false">
      <c r="A18" s="3" t="s">
        <v>259</v>
      </c>
      <c r="B18" s="21" t="n">
        <f aca="false">B13*B16</f>
        <v>105.75</v>
      </c>
    </row>
    <row r="19" customFormat="false" ht="15" hidden="false" customHeight="false" outlineLevel="0" collapsed="false">
      <c r="A19" s="3" t="s">
        <v>260</v>
      </c>
      <c r="B19" s="21" t="n">
        <f aca="false">B13*B17</f>
        <v>218.55</v>
      </c>
    </row>
    <row r="21" customFormat="false" ht="15" hidden="false" customHeight="false" outlineLevel="0" collapsed="false">
      <c r="A21" s="4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60"/>
  </cols>
  <sheetData>
    <row r="1" customFormat="false" ht="17.35" hidden="false" customHeight="false" outlineLevel="0" collapsed="false">
      <c r="A1" s="2" t="s">
        <v>262</v>
      </c>
    </row>
    <row r="3" customFormat="false" ht="15" hidden="false" customHeight="false" outlineLevel="0" collapsed="false">
      <c r="A3" s="4" t="s">
        <v>263</v>
      </c>
      <c r="B3" s="11" t="n">
        <f aca="false">70*280/100</f>
        <v>196</v>
      </c>
      <c r="C3" s="4" t="s">
        <v>264</v>
      </c>
    </row>
    <row r="5" customFormat="false" ht="26.85" hidden="false" customHeight="false" outlineLevel="0" collapsed="false">
      <c r="A5" s="16" t="s">
        <v>88</v>
      </c>
      <c r="B5" s="16" t="s">
        <v>265</v>
      </c>
      <c r="C5" s="16" t="s">
        <v>128</v>
      </c>
      <c r="D5" s="16" t="s">
        <v>266</v>
      </c>
    </row>
    <row r="6" customFormat="false" ht="26.85" hidden="false" customHeight="false" outlineLevel="0" collapsed="false">
      <c r="A6" s="4" t="s">
        <v>267</v>
      </c>
      <c r="B6" s="10" t="n">
        <v>22</v>
      </c>
      <c r="C6" s="17" t="s">
        <v>94</v>
      </c>
      <c r="D6" s="5" t="s">
        <v>268</v>
      </c>
    </row>
    <row r="7" customFormat="false" ht="15" hidden="false" customHeight="false" outlineLevel="0" collapsed="false">
      <c r="A7" s="4" t="s">
        <v>269</v>
      </c>
      <c r="B7" s="10" t="n">
        <v>22</v>
      </c>
      <c r="C7" s="17" t="s">
        <v>94</v>
      </c>
      <c r="D7" s="5" t="s">
        <v>270</v>
      </c>
    </row>
    <row r="8" customFormat="false" ht="15" hidden="false" customHeight="false" outlineLevel="0" collapsed="false">
      <c r="A8" s="4" t="s">
        <v>271</v>
      </c>
      <c r="B8" s="10" t="n">
        <v>18</v>
      </c>
      <c r="C8" s="17" t="s">
        <v>94</v>
      </c>
      <c r="D8" s="5" t="s">
        <v>272</v>
      </c>
    </row>
    <row r="9" customFormat="false" ht="15" hidden="false" customHeight="false" outlineLevel="0" collapsed="false">
      <c r="A9" s="4" t="s">
        <v>273</v>
      </c>
      <c r="B9" s="10" t="n">
        <v>25</v>
      </c>
      <c r="C9" s="17" t="s">
        <v>94</v>
      </c>
      <c r="D9" s="5" t="s">
        <v>274</v>
      </c>
    </row>
    <row r="10" customFormat="false" ht="15" hidden="false" customHeight="false" outlineLevel="0" collapsed="false">
      <c r="A10" s="4" t="s">
        <v>275</v>
      </c>
      <c r="B10" s="10" t="n">
        <v>18</v>
      </c>
      <c r="C10" s="17" t="s">
        <v>94</v>
      </c>
      <c r="D10" s="5" t="s">
        <v>276</v>
      </c>
    </row>
    <row r="11" customFormat="false" ht="15" hidden="false" customHeight="false" outlineLevel="0" collapsed="false">
      <c r="A11" s="4" t="s">
        <v>277</v>
      </c>
      <c r="B11" s="10" t="n">
        <v>20</v>
      </c>
      <c r="C11" s="17" t="s">
        <v>94</v>
      </c>
      <c r="D11" s="5" t="s">
        <v>278</v>
      </c>
    </row>
    <row r="12" customFormat="false" ht="15" hidden="false" customHeight="false" outlineLevel="0" collapsed="false">
      <c r="A12" s="4" t="s">
        <v>279</v>
      </c>
      <c r="B12" s="10" t="n">
        <v>35</v>
      </c>
      <c r="C12" s="17" t="s">
        <v>103</v>
      </c>
      <c r="D12" s="5" t="s">
        <v>280</v>
      </c>
    </row>
    <row r="13" customFormat="false" ht="15" hidden="false" customHeight="false" outlineLevel="0" collapsed="false">
      <c r="A13" s="3" t="s">
        <v>281</v>
      </c>
      <c r="B13" s="3" t="n">
        <f aca="false">SUM(B6:B12)</f>
        <v>160</v>
      </c>
    </row>
    <row r="14" customFormat="false" ht="15" hidden="false" customHeight="false" outlineLevel="0" collapsed="false">
      <c r="A14" s="3" t="s">
        <v>282</v>
      </c>
      <c r="B14" s="3" t="n">
        <f aca="false">B3-B13</f>
        <v>36</v>
      </c>
    </row>
    <row r="16" customFormat="false" ht="15" hidden="false" customHeight="false" outlineLevel="0" collapsed="false">
      <c r="A16" s="4" t="s">
        <v>283</v>
      </c>
    </row>
    <row r="17" customFormat="false" ht="15" hidden="false" customHeight="false" outlineLevel="0" collapsed="false">
      <c r="A17" s="4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5" min="4" style="1" width="4"/>
    <col collapsed="false" customWidth="true" hidden="false" outlineLevel="0" max="6" min="6" style="1" width="7"/>
    <col collapsed="false" customWidth="true" hidden="false" outlineLevel="0" max="7" min="7" style="1" width="52"/>
    <col collapsed="false" customWidth="true" hidden="false" outlineLevel="0" max="8" min="8" style="1" width="10"/>
  </cols>
  <sheetData>
    <row r="1" customFormat="false" ht="17.35" hidden="false" customHeight="false" outlineLevel="0" collapsed="false">
      <c r="A1" s="2" t="s">
        <v>285</v>
      </c>
    </row>
    <row r="2" customFormat="false" ht="15" hidden="false" customHeight="false" outlineLevel="0" collapsed="false">
      <c r="A2" s="4" t="s">
        <v>286</v>
      </c>
    </row>
    <row r="4" customFormat="false" ht="15" hidden="false" customHeight="false" outlineLevel="0" collapsed="false">
      <c r="A4" s="16" t="s">
        <v>287</v>
      </c>
      <c r="B4" s="16" t="s">
        <v>239</v>
      </c>
      <c r="C4" s="16" t="s">
        <v>288</v>
      </c>
      <c r="D4" s="16" t="s">
        <v>103</v>
      </c>
      <c r="E4" s="16" t="s">
        <v>289</v>
      </c>
      <c r="F4" s="16" t="s">
        <v>290</v>
      </c>
      <c r="G4" s="16" t="s">
        <v>291</v>
      </c>
      <c r="H4" s="16" t="s">
        <v>2</v>
      </c>
    </row>
    <row r="5" customFormat="false" ht="39.55" hidden="false" customHeight="false" outlineLevel="0" collapsed="false">
      <c r="A5" s="17" t="s">
        <v>292</v>
      </c>
      <c r="B5" s="5" t="s">
        <v>152</v>
      </c>
      <c r="C5" s="5" t="s">
        <v>293</v>
      </c>
      <c r="D5" s="24" t="n">
        <v>4</v>
      </c>
      <c r="E5" s="24" t="n">
        <v>4</v>
      </c>
      <c r="F5" s="25" t="n">
        <f aca="false">D5*E5</f>
        <v>16</v>
      </c>
      <c r="G5" s="5" t="s">
        <v>294</v>
      </c>
      <c r="H5" s="17" t="s">
        <v>295</v>
      </c>
    </row>
    <row r="6" customFormat="false" ht="52.2" hidden="false" customHeight="false" outlineLevel="0" collapsed="false">
      <c r="A6" s="17" t="s">
        <v>296</v>
      </c>
      <c r="B6" s="5" t="s">
        <v>297</v>
      </c>
      <c r="C6" s="5" t="s">
        <v>298</v>
      </c>
      <c r="D6" s="24" t="n">
        <v>2</v>
      </c>
      <c r="E6" s="24" t="n">
        <v>3</v>
      </c>
      <c r="F6" s="25" t="n">
        <f aca="false">D6*E6</f>
        <v>6</v>
      </c>
      <c r="G6" s="5" t="s">
        <v>299</v>
      </c>
      <c r="H6" s="17" t="s">
        <v>295</v>
      </c>
    </row>
    <row r="7" customFormat="false" ht="39.55" hidden="false" customHeight="false" outlineLevel="0" collapsed="false">
      <c r="A7" s="17" t="s">
        <v>300</v>
      </c>
      <c r="B7" s="5" t="s">
        <v>301</v>
      </c>
      <c r="C7" s="5" t="s">
        <v>302</v>
      </c>
      <c r="D7" s="24" t="n">
        <v>4</v>
      </c>
      <c r="E7" s="24" t="n">
        <v>3</v>
      </c>
      <c r="F7" s="25" t="n">
        <f aca="false">D7*E7</f>
        <v>12</v>
      </c>
      <c r="G7" s="5" t="s">
        <v>303</v>
      </c>
      <c r="H7" s="17" t="s">
        <v>295</v>
      </c>
    </row>
    <row r="8" customFormat="false" ht="26.85" hidden="false" customHeight="false" outlineLevel="0" collapsed="false">
      <c r="A8" s="17" t="s">
        <v>304</v>
      </c>
      <c r="B8" s="5" t="s">
        <v>305</v>
      </c>
      <c r="C8" s="5" t="s">
        <v>306</v>
      </c>
      <c r="D8" s="24" t="n">
        <v>4</v>
      </c>
      <c r="E8" s="24" t="n">
        <v>3</v>
      </c>
      <c r="F8" s="25" t="n">
        <f aca="false">D8*E8</f>
        <v>12</v>
      </c>
      <c r="G8" s="5" t="s">
        <v>307</v>
      </c>
      <c r="H8" s="17" t="s">
        <v>295</v>
      </c>
    </row>
    <row r="9" customFormat="false" ht="26.85" hidden="false" customHeight="false" outlineLevel="0" collapsed="false">
      <c r="A9" s="17" t="s">
        <v>308</v>
      </c>
      <c r="B9" s="5" t="s">
        <v>309</v>
      </c>
      <c r="C9" s="5" t="s">
        <v>310</v>
      </c>
      <c r="D9" s="24" t="n">
        <v>3</v>
      </c>
      <c r="E9" s="24" t="n">
        <v>4</v>
      </c>
      <c r="F9" s="25" t="n">
        <f aca="false">D9*E9</f>
        <v>12</v>
      </c>
      <c r="G9" s="5" t="s">
        <v>311</v>
      </c>
      <c r="H9" s="17" t="s">
        <v>295</v>
      </c>
    </row>
    <row r="10" customFormat="false" ht="39.55" hidden="false" customHeight="false" outlineLevel="0" collapsed="false">
      <c r="A10" s="17" t="s">
        <v>312</v>
      </c>
      <c r="B10" s="5" t="s">
        <v>313</v>
      </c>
      <c r="C10" s="5" t="s">
        <v>314</v>
      </c>
      <c r="D10" s="24" t="n">
        <v>3</v>
      </c>
      <c r="E10" s="24" t="n">
        <v>3</v>
      </c>
      <c r="F10" s="25" t="n">
        <f aca="false">D10*E10</f>
        <v>9</v>
      </c>
      <c r="G10" s="5" t="s">
        <v>315</v>
      </c>
      <c r="H10" s="17" t="s">
        <v>295</v>
      </c>
    </row>
    <row r="11" customFormat="false" ht="39.55" hidden="false" customHeight="false" outlineLevel="0" collapsed="false">
      <c r="A11" s="17" t="s">
        <v>316</v>
      </c>
      <c r="B11" s="5" t="s">
        <v>317</v>
      </c>
      <c r="C11" s="5" t="s">
        <v>318</v>
      </c>
      <c r="D11" s="24" t="n">
        <v>3</v>
      </c>
      <c r="E11" s="24" t="n">
        <v>3</v>
      </c>
      <c r="F11" s="25" t="n">
        <f aca="false">D11*E11</f>
        <v>9</v>
      </c>
      <c r="G11" s="5" t="s">
        <v>319</v>
      </c>
      <c r="H11" s="17" t="s">
        <v>295</v>
      </c>
    </row>
    <row r="12" customFormat="false" ht="26.85" hidden="false" customHeight="false" outlineLevel="0" collapsed="false">
      <c r="A12" s="17" t="s">
        <v>320</v>
      </c>
      <c r="B12" s="5" t="s">
        <v>152</v>
      </c>
      <c r="C12" s="5" t="s">
        <v>321</v>
      </c>
      <c r="D12" s="24" t="n">
        <v>3</v>
      </c>
      <c r="E12" s="24" t="n">
        <v>3</v>
      </c>
      <c r="F12" s="25" t="n">
        <f aca="false">D12*E12</f>
        <v>9</v>
      </c>
      <c r="G12" s="5" t="s">
        <v>322</v>
      </c>
      <c r="H12" s="17" t="s">
        <v>295</v>
      </c>
    </row>
    <row r="13" customFormat="false" ht="26.85" hidden="false" customHeight="false" outlineLevel="0" collapsed="false">
      <c r="A13" s="17" t="s">
        <v>323</v>
      </c>
      <c r="B13" s="5" t="s">
        <v>227</v>
      </c>
      <c r="C13" s="5" t="s">
        <v>324</v>
      </c>
      <c r="D13" s="24" t="n">
        <v>3</v>
      </c>
      <c r="E13" s="24" t="n">
        <v>3</v>
      </c>
      <c r="F13" s="25" t="n">
        <f aca="false">D13*E13</f>
        <v>9</v>
      </c>
      <c r="G13" s="5" t="s">
        <v>325</v>
      </c>
      <c r="H13" s="17" t="s">
        <v>295</v>
      </c>
    </row>
    <row r="14" customFormat="false" ht="26.85" hidden="false" customHeight="false" outlineLevel="0" collapsed="false">
      <c r="A14" s="17" t="s">
        <v>326</v>
      </c>
      <c r="B14" s="5" t="s">
        <v>327</v>
      </c>
      <c r="C14" s="5" t="s">
        <v>328</v>
      </c>
      <c r="D14" s="24" t="n">
        <v>2</v>
      </c>
      <c r="E14" s="24" t="n">
        <v>3</v>
      </c>
      <c r="F14" s="25" t="n">
        <f aca="false">D14*E14</f>
        <v>6</v>
      </c>
      <c r="G14" s="5" t="s">
        <v>329</v>
      </c>
      <c r="H14" s="17" t="s">
        <v>295</v>
      </c>
    </row>
    <row r="15" customFormat="false" ht="26.85" hidden="false" customHeight="false" outlineLevel="0" collapsed="false">
      <c r="A15" s="17" t="s">
        <v>330</v>
      </c>
      <c r="B15" s="5" t="s">
        <v>331</v>
      </c>
      <c r="C15" s="5" t="s">
        <v>332</v>
      </c>
      <c r="D15" s="24" t="n">
        <v>2</v>
      </c>
      <c r="E15" s="24" t="n">
        <v>3</v>
      </c>
      <c r="F15" s="25" t="n">
        <f aca="false">D15*E15</f>
        <v>6</v>
      </c>
      <c r="G15" s="5" t="s">
        <v>333</v>
      </c>
      <c r="H15" s="17" t="s">
        <v>295</v>
      </c>
    </row>
    <row r="16" customFormat="false" ht="26.85" hidden="false" customHeight="false" outlineLevel="0" collapsed="false">
      <c r="A16" s="17" t="s">
        <v>334</v>
      </c>
      <c r="B16" s="5" t="s">
        <v>335</v>
      </c>
      <c r="C16" s="5" t="s">
        <v>336</v>
      </c>
      <c r="D16" s="24" t="n">
        <v>2</v>
      </c>
      <c r="E16" s="24" t="n">
        <v>3</v>
      </c>
      <c r="F16" s="25" t="n">
        <f aca="false">D16*E16</f>
        <v>6</v>
      </c>
      <c r="G16" s="5" t="s">
        <v>337</v>
      </c>
      <c r="H16" s="17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55"/>
  </cols>
  <sheetData>
    <row r="1" customFormat="false" ht="17.35" hidden="false" customHeight="false" outlineLevel="0" collapsed="false">
      <c r="A1" s="2" t="s">
        <v>338</v>
      </c>
    </row>
    <row r="3" customFormat="false" ht="15" hidden="false" customHeight="false" outlineLevel="0" collapsed="false">
      <c r="A3" s="16" t="s">
        <v>118</v>
      </c>
      <c r="B3" s="16" t="s">
        <v>122</v>
      </c>
      <c r="C3" s="16" t="s">
        <v>339</v>
      </c>
      <c r="D3" s="16" t="s">
        <v>340</v>
      </c>
    </row>
    <row r="4" customFormat="false" ht="26.85" hidden="false" customHeight="false" outlineLevel="0" collapsed="false">
      <c r="A4" s="4" t="n">
        <v>1</v>
      </c>
      <c r="B4" s="5" t="s">
        <v>341</v>
      </c>
      <c r="C4" s="5" t="s">
        <v>342</v>
      </c>
      <c r="D4" s="5" t="s">
        <v>136</v>
      </c>
    </row>
    <row r="5" customFormat="false" ht="26.85" hidden="false" customHeight="false" outlineLevel="0" collapsed="false">
      <c r="A5" s="4" t="n">
        <v>2</v>
      </c>
      <c r="B5" s="5" t="s">
        <v>343</v>
      </c>
      <c r="C5" s="5" t="s">
        <v>344</v>
      </c>
      <c r="D5" s="5" t="s">
        <v>345</v>
      </c>
    </row>
    <row r="6" customFormat="false" ht="26.85" hidden="false" customHeight="false" outlineLevel="0" collapsed="false">
      <c r="A6" s="4" t="n">
        <v>3</v>
      </c>
      <c r="B6" s="5" t="s">
        <v>346</v>
      </c>
      <c r="C6" s="5" t="s">
        <v>347</v>
      </c>
      <c r="D6" s="5" t="s">
        <v>348</v>
      </c>
    </row>
    <row r="7" customFormat="false" ht="26.85" hidden="false" customHeight="false" outlineLevel="0" collapsed="false">
      <c r="A7" s="4" t="n">
        <v>4</v>
      </c>
      <c r="B7" s="5" t="s">
        <v>349</v>
      </c>
      <c r="C7" s="5" t="s">
        <v>350</v>
      </c>
      <c r="D7" s="5" t="s">
        <v>142</v>
      </c>
    </row>
    <row r="8" customFormat="false" ht="26.85" hidden="false" customHeight="false" outlineLevel="0" collapsed="false">
      <c r="A8" s="4" t="n">
        <v>5</v>
      </c>
      <c r="B8" s="5" t="s">
        <v>351</v>
      </c>
      <c r="C8" s="5" t="s">
        <v>352</v>
      </c>
      <c r="D8" s="5" t="s">
        <v>353</v>
      </c>
    </row>
    <row r="9" customFormat="false" ht="26.85" hidden="false" customHeight="false" outlineLevel="0" collapsed="false">
      <c r="A9" s="4" t="n">
        <v>6</v>
      </c>
      <c r="B9" s="5" t="s">
        <v>354</v>
      </c>
      <c r="C9" s="5" t="s">
        <v>355</v>
      </c>
      <c r="D9" s="5" t="s">
        <v>150</v>
      </c>
    </row>
    <row r="10" customFormat="false" ht="26.85" hidden="false" customHeight="false" outlineLevel="0" collapsed="false">
      <c r="A10" s="4" t="n">
        <v>7</v>
      </c>
      <c r="B10" s="5" t="s">
        <v>356</v>
      </c>
      <c r="C10" s="5" t="s">
        <v>357</v>
      </c>
      <c r="D10" s="5" t="s">
        <v>158</v>
      </c>
    </row>
    <row r="11" customFormat="false" ht="26.85" hidden="false" customHeight="false" outlineLevel="0" collapsed="false">
      <c r="A11" s="4" t="n">
        <v>8</v>
      </c>
      <c r="B11" s="5" t="s">
        <v>358</v>
      </c>
      <c r="C11" s="5" t="s">
        <v>159</v>
      </c>
      <c r="D11" s="5" t="s">
        <v>359</v>
      </c>
    </row>
    <row r="12" customFormat="false" ht="15" hidden="false" customHeight="false" outlineLevel="0" collapsed="false">
      <c r="A12" s="4" t="n">
        <v>9</v>
      </c>
      <c r="B12" s="5" t="s">
        <v>360</v>
      </c>
      <c r="C12" s="5" t="s">
        <v>361</v>
      </c>
      <c r="D12" s="5" t="s">
        <v>164</v>
      </c>
    </row>
    <row r="13" customFormat="false" ht="15" hidden="false" customHeight="false" outlineLevel="0" collapsed="false">
      <c r="A13" s="4" t="n">
        <v>10</v>
      </c>
      <c r="B13" s="5" t="s">
        <v>168</v>
      </c>
      <c r="C13" s="5" t="s">
        <v>362</v>
      </c>
      <c r="D13" s="5" t="s">
        <v>170</v>
      </c>
    </row>
    <row r="14" customFormat="false" ht="26.85" hidden="false" customHeight="false" outlineLevel="0" collapsed="false">
      <c r="A14" s="4" t="n">
        <v>11</v>
      </c>
      <c r="B14" s="5" t="s">
        <v>363</v>
      </c>
      <c r="C14" s="5" t="s">
        <v>364</v>
      </c>
      <c r="D14" s="5" t="s">
        <v>208</v>
      </c>
    </row>
    <row r="15" customFormat="false" ht="26.85" hidden="false" customHeight="false" outlineLevel="0" collapsed="false">
      <c r="A15" s="4" t="n">
        <v>12</v>
      </c>
      <c r="B15" s="5" t="s">
        <v>365</v>
      </c>
      <c r="C15" s="5" t="s">
        <v>366</v>
      </c>
      <c r="D15" s="5" t="s">
        <v>367</v>
      </c>
    </row>
    <row r="16" customFormat="false" ht="15" hidden="false" customHeight="false" outlineLevel="0" collapsed="false">
      <c r="A16" s="4" t="n">
        <v>13</v>
      </c>
      <c r="B16" s="5" t="s">
        <v>368</v>
      </c>
      <c r="C16" s="5" t="s">
        <v>369</v>
      </c>
      <c r="D16" s="5" t="s">
        <v>370</v>
      </c>
    </row>
    <row r="17" customFormat="false" ht="15" hidden="false" customHeight="false" outlineLevel="0" collapsed="false">
      <c r="A17" s="4" t="n">
        <v>14</v>
      </c>
      <c r="B17" s="5" t="s">
        <v>371</v>
      </c>
      <c r="C17" s="5" t="s">
        <v>372</v>
      </c>
      <c r="D17" s="5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2026-06-09T11:07:46Z</dcterms:created>
  <dc:creator>openpyxl</dc:creator>
  <dc:description/>
  <dc:language>en-US</dc:language>
  <cp:lastModifiedBy/>
  <dcterms:modified xsi:type="dcterms:W3CDTF">2026-06-09T15:27:02Z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